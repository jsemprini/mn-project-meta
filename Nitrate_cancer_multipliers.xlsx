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udy multipliers" sheetId="2" state="visible" r:id="rId4"/>
    <sheet name="Pooled by cancer" sheetId="3" state="visible" r:id="rId5"/>
    <sheet name="Per 10 mg per L" sheetId="4" state="visible" r:id="rId6"/>
    <sheet name="All cancers pooled" sheetId="5" state="visible" r:id="rId7"/>
    <sheet name="Iowa attributable fract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<sst xmlns="http://schemas.openxmlformats.org/spreadsheetml/2006/main" count="1061" uniqueCount="332">
  <si>
    <t xml:space="preserve">Nitrate in drinking water and cancer: study-level multipliers and pooled estimates</t>
  </si>
  <si>
    <t xml:space="preserve">Prepared for interview preparation. Compiled 2026-10-20.</t>
  </si>
  <si>
    <t xml:space="preserve">What a 'multiplier' means here</t>
  </si>
  <si>
    <t xml:space="preserve">The relative risk, odds ratio or hazard ratio a study reported for its highest drinking-water nitrate exposure group compared with its lowest. A multiplier of 1.20 means the most-exposed group had 20% higher odds or risk of that cancer than the least-exposed group in that study. These are associations from observational studies, not demonstrated causal effects.</t>
  </si>
  <si>
    <t xml:space="preserve">Sheets</t>
  </si>
  <si>
    <t xml:space="preserve">Study multipliers - every study-level estimate, grouped by cancer site, with two pooled rows per site. Columns V to AC hold the meta-analysis working (k, Q, tau-squared, I-squared, mu). Everything recalculates if you edit a multiplier or an inclusion flag.</t>
  </si>
  <si>
    <t xml:space="preserve">Pooled by cancer - the per-site answer, as published and de-duplicated, side by side, with what each published review reported for comparison.</t>
  </si>
  <si>
    <t xml:space="preserve">Per 10 mg per L - the same studies rescaled to a common dose increment. Read this against the previous sheet: the two scales disagree about which cancers are significant.</t>
  </si>
  <si>
    <t xml:space="preserve">All cancers pooled - the single overall multiplier, computed three ways, with a warning about why it should not be used.</t>
  </si>
  <si>
    <t xml:space="preserve">Iowa attributable fraction - what the pooled multipliers imply for Iowa case counts, with the exposed fraction as an editable input.</t>
  </si>
  <si>
    <t xml:space="preserve">Sources</t>
  </si>
  <si>
    <t xml:space="preserve">Study-level estimates were transcribed from Table 2 of Picetti et al. 2022, 'Nitrate and nitrite contamination in drinking water and cancer risk: a systematic review with meta-analysis', Environmental Research 210:112988, which is the most comprehensive table of drinking-water nitrate cancer studies available (60 cancer studies, 17 sites, PROSPERO CRD42020186945). Extraction was done by column coordinates from the published PDF rather than by reading converted text, to keep each estimate attached to the right study.</t>
  </si>
  <si>
    <t xml:space="preserve">Published pooled estimates quoted for comparison come from Picetti et al. 2022, Essien et al. 2022 (Archives of Environmental and Occupational Health 77:51-67), and Temkin et al. 2019 (Environmental Research 176:108442).</t>
  </si>
  <si>
    <t xml:space="preserve">Iowa incidence counts are 2023 figures from the uploaded SEER/USCS extract, 3-ewg.xlsx.</t>
  </si>
  <si>
    <t xml:space="preserve">Method</t>
  </si>
  <si>
    <t xml:space="preserve">DerSimonian-Laird random-effects meta-analysis on the natural log scale. Standard errors are derived from the published 95% confidence intervals as (ln(upper) - ln(lower)) / 3.92. Between-study variance tau-squared is estimated from Cochran's Q. All of this is implemented in worksheet formulas, not pasted values, so the workbook recalculates.</t>
  </si>
  <si>
    <t xml:space="preserve">Ecological and cross-sectional studies are excluded from the pooled estimates, following the approach the 2024 Cochrane protocol CD015822 sets out. They remain in the data with an inclusion flag of 0 so the effect of adding them can be checked.</t>
  </si>
  <si>
    <t xml:space="preserve">Four limitations that matter if you quote these numbers</t>
  </si>
  <si>
    <t xml:space="preserve">1. A highest-versus-lowest pool is scale-free. 'Highest exposure' means above 1.68 mg/L in the Taiwanese studies and above 44 mg/L in McElroy 2008. Pooling them answers whether top-exposure groups have higher risk, not how much risk a given dose carries.</t>
  </si>
  <si>
    <t xml:space="preserve">2. The per 10 mg/L rescaling assumes a linear log-odds dose-response across each study's exposure range. That assumption is doing real work, and it is the same assumption that turns odds ratios of 1.14 to 1.20 into Picetti's headline gastric figure of 1.91.</t>
  </si>
  <si>
    <t xml:space="preserve">3. These pools cannot reproduce the published reviews exactly, and are not meant to. Picetti rescaled using within-study quantile midpoints that are not published in the paper, and Essien used a different and larger study set.</t>
  </si>
  <si>
    <t xml:space="preserve">4. Several confidence intervals are misprinted in the source papers. Espejo-Herrera's colorectal interval is printed as 1.49 (1.24-1.38), with the upper bound below the point estimate; the colon estimate is used here instead. Jones 2017's continuous kidney interval has the same defect and is not used. Both are flagged in the Notes column.</t>
  </si>
  <si>
    <t xml:space="preserve">The headline finding</t>
  </si>
  <si>
    <t xml:space="preserve">The direction of the pooled estimates is mildly positive almost everywhere, and the significance of individual sites flips depending on the scaling choice: on the highest-versus-lowest scale stomach and colorectal are both significantly elevated, while on the per 10 mg/L scale stomach loses significance and colorectal keeps it. Picetti, using a third approach, found the opposite pattern again. That instability across reasonable analytic choices is the substantive result, and it is the same point the Cochrane protocol makes about the existing reviews.</t>
  </si>
  <si>
    <t xml:space="preserve">Cancer site</t>
  </si>
  <si>
    <t xml:space="preserve">Study</t>
  </si>
  <si>
    <t xml:space="preserve">Year</t>
  </si>
  <si>
    <t xml:space="preserve">Design</t>
  </si>
  <si>
    <t xml:space="preserve">Country</t>
  </si>
  <si>
    <t xml:space="preserve">Water source</t>
  </si>
  <si>
    <t xml:space="preserve">Exposure contrast</t>
  </si>
  <si>
    <t xml:space="preserve">Low (mg/L)</t>
  </si>
  <si>
    <t xml:space="preserve">High (mg/L)</t>
  </si>
  <si>
    <t xml:space="preserve">Metric</t>
  </si>
  <si>
    <t xml:space="preserve">Multiplier</t>
  </si>
  <si>
    <t xml:space="preserve">95% LCL</t>
  </si>
  <si>
    <t xml:space="preserve">95% UCL</t>
  </si>
  <si>
    <t xml:space="preserve">ln(mult)</t>
  </si>
  <si>
    <t xml:space="preserve">SE</t>
  </si>
  <si>
    <t xml:space="preserve">Inv-var weight</t>
  </si>
  <si>
    <t xml:space="preserve">In pool: as published</t>
  </si>
  <si>
    <t xml:space="preserve">In pool: de-duplicated</t>
  </si>
  <si>
    <t xml:space="preserve">RE weight (as pub)</t>
  </si>
  <si>
    <t xml:space="preserve">RE weight (dedup)</t>
  </si>
  <si>
    <t xml:space="preserve">Notes</t>
  </si>
  <si>
    <t xml:space="preserve">k</t>
  </si>
  <si>
    <t xml:space="preserve">FE mean</t>
  </si>
  <si>
    <t xml:space="preserve">Q</t>
  </si>
  <si>
    <t xml:space="preserve">C</t>
  </si>
  <si>
    <t xml:space="preserve">tau^2</t>
  </si>
  <si>
    <t xml:space="preserve">I^2</t>
  </si>
  <si>
    <t xml:space="preserve">mu</t>
  </si>
  <si>
    <t xml:space="preserve">SE(mu)</t>
  </si>
  <si>
    <t xml:space="preserve">Stomach</t>
  </si>
  <si>
    <t xml:space="preserve">Barrett</t>
  </si>
  <si>
    <t xml:space="preserve">Ecological</t>
  </si>
  <si>
    <t xml:space="preserve">UK</t>
  </si>
  <si>
    <t xml:space="preserve">Public</t>
  </si>
  <si>
    <t xml:space="preserve">Highest vs lowest quartile</t>
  </si>
  <si>
    <t xml:space="preserve">RR</t>
  </si>
  <si>
    <t xml:space="preserve">15,544 cases</t>
  </si>
  <si>
    <t xml:space="preserve">Chiu</t>
  </si>
  <si>
    <t xml:space="preserve">Case-control</t>
  </si>
  <si>
    <t xml:space="preserve">Taiwan</t>
  </si>
  <si>
    <t xml:space="preserve">Municipal</t>
  </si>
  <si>
    <t xml:space="preserve">&gt;=1.68 vs &lt;1.68</t>
  </si>
  <si>
    <t xml:space="preserve">OR</t>
  </si>
  <si>
    <t xml:space="preserve">2832/2832</t>
  </si>
  <si>
    <t xml:space="preserve">Gulis</t>
  </si>
  <si>
    <t xml:space="preserve">Slovakia</t>
  </si>
  <si>
    <t xml:space="preserve">Highest tertile &gt;20</t>
  </si>
  <si>
    <t xml:space="preserve">SIR</t>
  </si>
  <si>
    <t xml:space="preserve">total</t>
  </si>
  <si>
    <t xml:space="preserve">Morales-Suarez-Varela</t>
  </si>
  <si>
    <t xml:space="preserve">Cross-sectional</t>
  </si>
  <si>
    <t xml:space="preserve">Spain</t>
  </si>
  <si>
    <t xml:space="preserve">&gt;50 vs &lt;25, men 55-75</t>
  </si>
  <si>
    <t xml:space="preserve">age/sex stratum only</t>
  </si>
  <si>
    <t xml:space="preserve">Rademacher</t>
  </si>
  <si>
    <t xml:space="preserve">USA (WI)</t>
  </si>
  <si>
    <t xml:space="preserve">Highest quartile &gt;44.22</t>
  </si>
  <si>
    <t xml:space="preserve">excluded by Picetti: methods</t>
  </si>
  <si>
    <t xml:space="preserve">Taneja</t>
  </si>
  <si>
    <t xml:space="preserve">India</t>
  </si>
  <si>
    <t xml:space="preserve">Mixed</t>
  </si>
  <si>
    <t xml:space="preserve">Highest vs lowest</t>
  </si>
  <si>
    <t xml:space="preserve">78/156</t>
  </si>
  <si>
    <t xml:space="preserve">van Loon</t>
  </si>
  <si>
    <t xml:space="preserve">Cohort</t>
  </si>
  <si>
    <t xml:space="preserve">Netherlands</t>
  </si>
  <si>
    <t xml:space="preserve">Higher vs lower quintile</t>
  </si>
  <si>
    <t xml:space="preserve">excluded by Picetti: units</t>
  </si>
  <si>
    <t xml:space="preserve">Higher vs lower quintile (mg/d)</t>
  </si>
  <si>
    <t xml:space="preserve">Ward</t>
  </si>
  <si>
    <t xml:space="preserve">USA (NE)</t>
  </si>
  <si>
    <t xml:space="preserve">&gt;19.11 vs &lt;10.84</t>
  </si>
  <si>
    <t xml:space="preserve">79 distal cases</t>
  </si>
  <si>
    <t xml:space="preserve">Yang</t>
  </si>
  <si>
    <t xml:space="preserve">&gt;=1.99 vs &lt;=0.97</t>
  </si>
  <si>
    <t xml:space="preserve">superseded by Yang 1998</t>
  </si>
  <si>
    <t xml:space="preserve">6766/6766</t>
  </si>
  <si>
    <t xml:space="preserve">POOLED - as published</t>
  </si>
  <si>
    <t xml:space="preserve">pooled</t>
  </si>
  <si>
    <t xml:space="preserve">POOLED - de-duplicated</t>
  </si>
  <si>
    <t xml:space="preserve">Esophagus</t>
  </si>
  <si>
    <t xml:space="preserve">Liao</t>
  </si>
  <si>
    <t xml:space="preserve">&gt;=2.92 vs &lt;1.98</t>
  </si>
  <si>
    <t xml:space="preserve">3024/3024</t>
  </si>
  <si>
    <t xml:space="preserve">84 cases</t>
  </si>
  <si>
    <t xml:space="preserve">Zhang</t>
  </si>
  <si>
    <t xml:space="preserve">China</t>
  </si>
  <si>
    <t xml:space="preserve">Wells/rivers</t>
  </si>
  <si>
    <t xml:space="preserve">extreme outlier</t>
  </si>
  <si>
    <t xml:space="preserve">Colorectal</t>
  </si>
  <si>
    <t xml:space="preserve">Chang</t>
  </si>
  <si>
    <t xml:space="preserve">&gt;=1.68 vs &lt;1.68 (rectal)</t>
  </si>
  <si>
    <t xml:space="preserve">rectal</t>
  </si>
  <si>
    <t xml:space="preserve">&gt;2.67 vs &lt;1.67 (colon)</t>
  </si>
  <si>
    <t xml:space="preserve">colon</t>
  </si>
  <si>
    <t xml:space="preserve">&gt;=2.65 vs &lt;1.68 (colon)</t>
  </si>
  <si>
    <t xml:space="preserve">duplicate of Chiu 2010</t>
  </si>
  <si>
    <t xml:space="preserve">De Roos</t>
  </si>
  <si>
    <t xml:space="preserve">USA (IA)</t>
  </si>
  <si>
    <t xml:space="preserve">&gt;22.11 vs &lt;=4.42 (colon)</t>
  </si>
  <si>
    <t xml:space="preserve">376 colon cases</t>
  </si>
  <si>
    <t xml:space="preserve">Espejo-Herrera</t>
  </si>
  <si>
    <t xml:space="preserve">Spain/Italy</t>
  </si>
  <si>
    <t xml:space="preserve">&gt;10 vs &lt;=5 mg/day (colon)</t>
  </si>
  <si>
    <t xml:space="preserve">colorectal CI misprinted; colon used</t>
  </si>
  <si>
    <t xml:space="preserve">Fathmawati</t>
  </si>
  <si>
    <t xml:space="preserve">Indonesia</t>
  </si>
  <si>
    <t xml:space="preserve">Wells</t>
  </si>
  <si>
    <t xml:space="preserve">&gt;50 vs &lt;=50</t>
  </si>
  <si>
    <t xml:space="preserve">75/75</t>
  </si>
  <si>
    <t xml:space="preserve">Jones</t>
  </si>
  <si>
    <t xml:space="preserve">&gt;15.52 vs &lt;1.59 (colon)</t>
  </si>
  <si>
    <t xml:space="preserve">HR</t>
  </si>
  <si>
    <t xml:space="preserve">612 colon cases</t>
  </si>
  <si>
    <t xml:space="preserve">Kuo</t>
  </si>
  <si>
    <t xml:space="preserve">2.12-12.60 vs &lt;=0.49 (rectal)</t>
  </si>
  <si>
    <t xml:space="preserve">McElroy</t>
  </si>
  <si>
    <t xml:space="preserve">Private wells</t>
  </si>
  <si>
    <t xml:space="preserve">&gt;=44.23 vs &lt;2.21</t>
  </si>
  <si>
    <t xml:space="preserve">475/1447</t>
  </si>
  <si>
    <t xml:space="preserve">&gt;50 vs &lt;25, women 55-75</t>
  </si>
  <si>
    <t xml:space="preserve">stratum only</t>
  </si>
  <si>
    <t xml:space="preserve">Leclerc</t>
  </si>
  <si>
    <t xml:space="preserve">France</t>
  </si>
  <si>
    <t xml:space="preserve">&gt;45 vs &lt;45 (GI+urinary)</t>
  </si>
  <si>
    <t xml:space="preserve">men; GI+urinary combined</t>
  </si>
  <si>
    <t xml:space="preserve">Schullehner</t>
  </si>
  <si>
    <t xml:space="preserve">Denmark</t>
  </si>
  <si>
    <t xml:space="preserve">&gt;=16.75 vs &lt;0.69</t>
  </si>
  <si>
    <t xml:space="preserve">5944 cases</t>
  </si>
  <si>
    <t xml:space="preserve">Weyer</t>
  </si>
  <si>
    <t xml:space="preserve">&gt;10.88 vs &lt;1.59 (colon)</t>
  </si>
  <si>
    <t xml:space="preserve">superseded by Jones 2019</t>
  </si>
  <si>
    <t xml:space="preserve">&gt;=2.12 vs &lt;=0.97</t>
  </si>
  <si>
    <t xml:space="preserve">2234/2234</t>
  </si>
  <si>
    <t xml:space="preserve">Pancreas</t>
  </si>
  <si>
    <t xml:space="preserve">Coss</t>
  </si>
  <si>
    <t xml:space="preserve">&gt;12.38 vs &lt;2.65</t>
  </si>
  <si>
    <t xml:space="preserve">189/1244</t>
  </si>
  <si>
    <t xml:space="preserve">Quist</t>
  </si>
  <si>
    <t xml:space="preserve">&gt;25.16 vs &lt;2.08</t>
  </si>
  <si>
    <t xml:space="preserve">152 cases</t>
  </si>
  <si>
    <t xml:space="preserve">2.12-12.65 vs &lt;=0.80</t>
  </si>
  <si>
    <t xml:space="preserve">&gt;10.88 vs &lt;1.59</t>
  </si>
  <si>
    <t xml:space="preserve">superseded by Quist 2018</t>
  </si>
  <si>
    <t xml:space="preserve">Bladder</t>
  </si>
  <si>
    <t xml:space="preserve">Barry</t>
  </si>
  <si>
    <t xml:space="preserve">USA (NE states)</t>
  </si>
  <si>
    <t xml:space="preserve">&gt;9.15 vs &lt;=0.93</t>
  </si>
  <si>
    <t xml:space="preserve">987/1180</t>
  </si>
  <si>
    <t xml:space="preserve">2.12-12.65 vs &lt;0.80</t>
  </si>
  <si>
    <t xml:space="preserve">513/513</t>
  </si>
  <si>
    <t xml:space="preserve">&gt;=44.23 vs &lt;=22.11</t>
  </si>
  <si>
    <t xml:space="preserve">531/556</t>
  </si>
  <si>
    <t xml:space="preserve">&gt;13.14 vs &lt;2.08</t>
  </si>
  <si>
    <t xml:space="preserve">130 cases</t>
  </si>
  <si>
    <t xml:space="preserve">&gt;=13.67 vs &lt;2.65, men</t>
  </si>
  <si>
    <t xml:space="preserve">622 male cases</t>
  </si>
  <si>
    <t xml:space="preserve">superseded by Jones 2016</t>
  </si>
  <si>
    <t xml:space="preserve">Zeegers</t>
  </si>
  <si>
    <t xml:space="preserve">Pumping stations</t>
  </si>
  <si>
    <t xml:space="preserve">&gt;7.7 vs &lt;0.9</t>
  </si>
  <si>
    <t xml:space="preserve">Kidney</t>
  </si>
  <si>
    <t xml:space="preserve">&gt;12.30 vs &lt;2.74</t>
  </si>
  <si>
    <t xml:space="preserve">p trend 0.33</t>
  </si>
  <si>
    <t xml:space="preserve">Volkmer</t>
  </si>
  <si>
    <t xml:space="preserve">Germany</t>
  </si>
  <si>
    <t xml:space="preserve">Group A vs B, total</t>
  </si>
  <si>
    <t xml:space="preserve">&gt;12.3 vs &lt;2.74</t>
  </si>
  <si>
    <t xml:space="preserve">201/1244</t>
  </si>
  <si>
    <t xml:space="preserve">superseded by Jones 2017</t>
  </si>
  <si>
    <t xml:space="preserve">Brain</t>
  </si>
  <si>
    <t xml:space="preserve">Boeing</t>
  </si>
  <si>
    <t xml:space="preserve">Higher vs lower (glioma)</t>
  </si>
  <si>
    <t xml:space="preserve">CI lower bound 0.0</t>
  </si>
  <si>
    <t xml:space="preserve">Ho</t>
  </si>
  <si>
    <t xml:space="preserve">Per mg/L NO3</t>
  </si>
  <si>
    <t xml:space="preserve">787/787</t>
  </si>
  <si>
    <t xml:space="preserve">Mueller</t>
  </si>
  <si>
    <t xml:space="preserve">USA (WA/CA)</t>
  </si>
  <si>
    <t xml:space="preserve">50-100 vs not detected</t>
  </si>
  <si>
    <t xml:space="preserve">USA</t>
  </si>
  <si>
    <t xml:space="preserve">&gt;50 vs none</t>
  </si>
  <si>
    <t xml:space="preserve">Steindorf</t>
  </si>
  <si>
    <t xml:space="preserve">&gt;25.2 vs &lt;2</t>
  </si>
  <si>
    <t xml:space="preserve">173/418</t>
  </si>
  <si>
    <t xml:space="preserve">Thorpe &amp; Shirmohammadi</t>
  </si>
  <si>
    <t xml:space="preserve">USA (MD)</t>
  </si>
  <si>
    <t xml:space="preserve">Public/wells</t>
  </si>
  <si>
    <t xml:space="preserve">Any detectable NO3</t>
  </si>
  <si>
    <t xml:space="preserve">children</t>
  </si>
  <si>
    <t xml:space="preserve">&gt;19.11 vs &lt;10.53</t>
  </si>
  <si>
    <t xml:space="preserve">Weng</t>
  </si>
  <si>
    <t xml:space="preserve">Non-Hodgkin lymphoma</t>
  </si>
  <si>
    <t xml:space="preserve">Cocco</t>
  </si>
  <si>
    <t xml:space="preserve">Italy</t>
  </si>
  <si>
    <t xml:space="preserve">15.01-26.64 vs &lt;=2.0</t>
  </si>
  <si>
    <t xml:space="preserve">IRR</t>
  </si>
  <si>
    <t xml:space="preserve">Freedman</t>
  </si>
  <si>
    <t xml:space="preserve">USA (MN)</t>
  </si>
  <si>
    <t xml:space="preserve">&gt;6.6 vs &lt;=2.21</t>
  </si>
  <si>
    <t xml:space="preserve">73/147</t>
  </si>
  <si>
    <t xml:space="preserve">&gt;20 vs &lt;=10</t>
  </si>
  <si>
    <t xml:space="preserve">Law</t>
  </si>
  <si>
    <t xml:space="preserve">&gt;14.85 vs &lt;3.24 (1984-88)</t>
  </si>
  <si>
    <t xml:space="preserve">Rhoades</t>
  </si>
  <si>
    <t xml:space="preserve">140/192</t>
  </si>
  <si>
    <t xml:space="preserve">&gt;=17.69 vs &lt;7.08</t>
  </si>
  <si>
    <t xml:space="preserve">&gt;=12.83 vs &lt;2.79</t>
  </si>
  <si>
    <t xml:space="preserve">Breast</t>
  </si>
  <si>
    <t xml:space="preserve">Brody</t>
  </si>
  <si>
    <t xml:space="preserve">USA (MA)</t>
  </si>
  <si>
    <t xml:space="preserve">&gt;=5.31 vs &lt;1.33</t>
  </si>
  <si>
    <t xml:space="preserve">824/745</t>
  </si>
  <si>
    <t xml:space="preserve">&gt;8.8 vs &lt;2.3 mg/day</t>
  </si>
  <si>
    <t xml:space="preserve">1245/1520</t>
  </si>
  <si>
    <t xml:space="preserve">Leukemia</t>
  </si>
  <si>
    <t xml:space="preserve">Infante-Rivard</t>
  </si>
  <si>
    <t xml:space="preserve">Canada</t>
  </si>
  <si>
    <t xml:space="preserve">&gt;95th pct (prenatal)</t>
  </si>
  <si>
    <t xml:space="preserve">Ovary</t>
  </si>
  <si>
    <t xml:space="preserve">Inoue-Choi</t>
  </si>
  <si>
    <t xml:space="preserve">&gt;=13.18 vs &lt;=2.09</t>
  </si>
  <si>
    <t xml:space="preserve">145 cases</t>
  </si>
  <si>
    <t xml:space="preserve">same cohort as Inoue-Choi</t>
  </si>
  <si>
    <t xml:space="preserve">Uterus</t>
  </si>
  <si>
    <t xml:space="preserve">Prostate</t>
  </si>
  <si>
    <t xml:space="preserve">Group A vs B</t>
  </si>
  <si>
    <t xml:space="preserve">Thyroid</t>
  </si>
  <si>
    <t xml:space="preserve">28 cases</t>
  </si>
  <si>
    <t xml:space="preserve">Lung</t>
  </si>
  <si>
    <t xml:space="preserve">237 cases</t>
  </si>
  <si>
    <t xml:space="preserve">Melanoma</t>
  </si>
  <si>
    <t xml:space="preserve">68 cases</t>
  </si>
  <si>
    <t xml:space="preserve">Urinary tract</t>
  </si>
  <si>
    <t xml:space="preserve">Other digestive</t>
  </si>
  <si>
    <t xml:space="preserve">55 cases</t>
  </si>
  <si>
    <t xml:space="preserve">Bone</t>
  </si>
  <si>
    <t xml:space="preserve">All cancers combined</t>
  </si>
  <si>
    <t xml:space="preserve">4051 cases</t>
  </si>
  <si>
    <t xml:space="preserve">Pooled multiplier</t>
  </si>
  <si>
    <t xml:space="preserve">Verdict after de-duplication</t>
  </si>
  <si>
    <t xml:space="preserve">What the published reviews report</t>
  </si>
  <si>
    <t xml:space="preserve">Picetti: RR 1.91 (1.09-3.33) per 10 mg/L, 4 case-control studies, I2 77%. Essien: OR 1.09 (0.97-1.21) high vs low, not significant.</t>
  </si>
  <si>
    <t xml:space="preserve">Picetti: RR 1.08 (0.85-1.37). Essien: OR 1.06 (0.99-1.13).</t>
  </si>
  <si>
    <t xml:space="preserve">Picetti: RR 1.052 (0.995-1.111) per 10 mg/L, not significant. Essien colon: OR 1.11 (1.04-1.17). Temkin: RR 1.04 (1.01-1.07) per 1 mg/L nitrate-N.</t>
  </si>
  <si>
    <t xml:space="preserve">Picetti: no significant association. Essien: OR 1.08 (0.94-1.22).</t>
  </si>
  <si>
    <t xml:space="preserve">Picetti cohort-only: RR 1.31 (1.03-1.66); case-control and combined analyses null. Essien: OR 0.94 (0.70-1.17).</t>
  </si>
  <si>
    <t xml:space="preserve">Picetti: no significant association. Essien: OR 1.03 (0.78-1.28).</t>
  </si>
  <si>
    <t xml:space="preserve">Picetti: no significant association. Essien brain/glioma: OR 1.15 (1.06-1.24).</t>
  </si>
  <si>
    <t xml:space="preserve">Picetti: no significant association. Essien: OR 0.98 (0.81-1.16).</t>
  </si>
  <si>
    <t xml:space="preserve">Picetti: meta-analysis not performed (different exposure types). Essien: OR 1.06 (0.94-1.19).</t>
  </si>
  <si>
    <t xml:space="preserve">Picetti: too few studies to pool.</t>
  </si>
  <si>
    <t xml:space="preserve">Picetti: not significant per 10 mg/L. Both studies are the same Iowa cohort.</t>
  </si>
  <si>
    <t xml:space="preserve">Single study (Iowa Women's Health Study).</t>
  </si>
  <si>
    <t xml:space="preserve">No meta-analysis in any review. Essien: prostate not in the evidence base at all.</t>
  </si>
  <si>
    <t xml:space="preserve">No meta-analysis in any review. EPA review: 3 studies, 1 of medium confidence.</t>
  </si>
  <si>
    <t xml:space="preserve">EPA systematic review: 3 studies, zero of medium confidence or better.</t>
  </si>
  <si>
    <t xml:space="preserve">No drinking-water nitrate meta-analysis exists for melanoma.</t>
  </si>
  <si>
    <t xml:space="preserve">Single study (Volkmer 2005, Germany).</t>
  </si>
  <si>
    <t xml:space="preserve">Not separately pooled in the published reviews.</t>
  </si>
  <si>
    <t xml:space="preserve">Single ecological study.</t>
  </si>
  <si>
    <t xml:space="preserve">Single ecological study (Gulis 2002).</t>
  </si>
  <si>
    <t xml:space="preserve">Pooled with DerSimonian-Laird random effects on the log scale, using each study's highest-versus-lowest exposure contrast exactly as that study reported it.</t>
  </si>
  <si>
    <t xml:space="preserve">'De-duplicated' keeps one estimate per independent population per cancer site. It drops Chiu 2011 (same cases and controls as Chiu 2010), Yang 1997 (superseded by Yang 1998), and the Weyer 2001 estimate at any site where a later Iowa Women's Health Study analysis covers the same cohort.</t>
  </si>
  <si>
    <t xml:space="preserve">Ecological and cross-sectional studies are excluded from both pools, following the approach the Cochrane protocol (CD015822) sets out. They remain on the 'Study multipliers' sheet with an inclusion flag of 0.</t>
  </si>
  <si>
    <t xml:space="preserve">CAUTION: a highest-versus-lowest pool is scale-free. 'Highest' means above 1.68 mg/L in the Taiwanese studies and above 44 mg/L in McElroy. These multipliers answer 'is the top exposure group at higher risk than the bottom group', not 'how much risk per unit of nitrate'. See the 'Per 10 mg per L' sheet for the dose-standardised version, which gives materially different answers.</t>
  </si>
  <si>
    <t xml:space="preserve">Dose-standardised multipliers: risk per 10 mg/L of nitrate</t>
  </si>
  <si>
    <t xml:space="preserve">Each study's highest-versus-lowest estimate is rescaled to a common 10 mg/L increment by assuming a linear increase in log-odds across the exposure range, the same assumption Picetti et al. used. Studies whose exposure categories share a boundary (for example '&gt;=1.68 vs &lt;1.68') have no defined contrast width and are excluded. De-duplicated set only.</t>
  </si>
  <si>
    <t xml:space="preserve">Contrast width (mg/L)</t>
  </si>
  <si>
    <t xml:space="preserve">Multiplier as reported</t>
  </si>
  <si>
    <t xml:space="preserve">ln per 10 mg/L</t>
  </si>
  <si>
    <t xml:space="preserve">SE per 10 mg/L</t>
  </si>
  <si>
    <t xml:space="preserve">In pool</t>
  </si>
  <si>
    <t xml:space="preserve">RE weight</t>
  </si>
  <si>
    <t xml:space="preserve">FE</t>
  </si>
  <si>
    <t xml:space="preserve">POOLED per 10 mg/L</t>
  </si>
  <si>
    <t xml:space="preserve">Pooling every cancer site together - a demonstration, not an estimate</t>
  </si>
  <si>
    <t xml:space="preserve">This sheet computes what the question 'what is the overall multiplier for nitrate and cancer' produces if you take it literally. The answer should not be used as a risk estimate for any purpose. Pooling across biologically unrelated cancer sites assumes a single common effect of nitrate on all cancers, which no review in this literature claims and which the site-by-site results contradict. It is the same structural move that makes the Temkin et al. attributable-burden calculation unreliable. It is computed here so that the number is on the record with its caveats attached, rather than being produced later without them.</t>
  </si>
  <si>
    <t xml:space="preserve">Variant</t>
  </si>
  <si>
    <t xml:space="preserve">What it pools</t>
  </si>
  <si>
    <t xml:space="preserve">A. Every study-site estimate, as published</t>
  </si>
  <si>
    <t xml:space="preserve">All cohort and case-control estimates, counting repeat appearances of the same cohort at different sites</t>
  </si>
  <si>
    <t xml:space="preserve">B. De-duplicated study-site estimates</t>
  </si>
  <si>
    <t xml:space="preserve">One estimate per independent population per cancer site</t>
  </si>
  <si>
    <t xml:space="preserve">C. Pool of the site-level pooled estimates</t>
  </si>
  <si>
    <t xml:space="preserve">Each cancer site contributes once, using its de-duplicated pooled multiplier</t>
  </si>
  <si>
    <t xml:space="preserve">How to read this: all three variants land near 1.1, with heterogeneity around 50%. An I-squared of 50% across sites means half the variation between these estimates is real difference between cancers, not sampling noise - which is the statistical way of saying a single all-cancer multiplier is not a meaningful quantity. Note also that de-duplicating barely moves the all-cancer figure, because the Iowa Women's Health Study estimates it removes sit on both sides of 1.0.</t>
  </si>
  <si>
    <t xml:space="preserve">Helper ranges below - ln(multiplier) and SE pulled from the 'Study multipliers' sheet</t>
  </si>
  <si>
    <t xml:space="preserve">What these multipliers imply for Iowa</t>
  </si>
  <si>
    <t xml:space="preserve">Population attributable fraction = Pe x (RR - 1) / (1 + Pe x (RR - 1)), where Pe is the share of Iowans exposed above the reference level. Pe is an input - change the yellow cell. Iowa case counts are 2023 incidence from the uploaded SEER/USCS extract (3-ewg.xlsx).</t>
  </si>
  <si>
    <t xml:space="preserve">Exposed fraction of Iowa population (Pe)</t>
  </si>
  <si>
    <t xml:space="preserve">Editable. 10% is a placeholder. For reference: 18% of Iowans are on private wells, and EWG's own model put 8% of those above 5 mg/L.</t>
  </si>
  <si>
    <t xml:space="preserve">Iowa cases, 2023</t>
  </si>
  <si>
    <t xml:space="preserve">Pooled multiplier (de-dup, high vs low)</t>
  </si>
  <si>
    <t xml:space="preserve">Attributable fraction</t>
  </si>
  <si>
    <t xml:space="preserve">Attributable cases</t>
  </si>
  <si>
    <t xml:space="preserve">Multiplier per 10 mg/L</t>
  </si>
  <si>
    <t xml:space="preserve">Attributable fraction (per 10)</t>
  </si>
  <si>
    <t xml:space="preserve">Attributable cases (per 10)</t>
  </si>
  <si>
    <t xml:space="preserve">TOTAL across the six nitrate-associated sites</t>
  </si>
  <si>
    <t xml:space="preserve">All Iowa cancer cases, 2023</t>
  </si>
  <si>
    <t xml:space="preserve">Attributable share of ALL Iowa cancers (high vs low scale)</t>
  </si>
  <si>
    <t xml:space="preserve">For comparison: EWG's own state estimate for Iowa</t>
  </si>
  <si>
    <t xml:space="preserve">74 to 335 cases, i.e. 0.35% to 1.57% of all Iowa cancers</t>
  </si>
  <si>
    <t xml:space="preserve">This is an illustration of scale, not an attributable-burden estimate. It inherits every weakness of the underlying multipliers: a highest-versus-lowest contrast that means a different dose in every study, pooled estimates with substantial heterogeneity, and no adjustment for the fact that these are observational associations rather than demonstrated causal effects.</t>
  </si>
  <si>
    <t xml:space="preserve">It is shown because it lands in the same place the EWG figure does, by a completely different route and without assuming causation: even taking the associations at face value, the implied share of Iowa's cancer burden is low single-digit percent at most.</t>
  </si>
  <si>
    <t xml:space="preserve">Iowa case counts: colorectal, thyroid, kidney, bladder and stomach are non-Hispanic White population counts; ovary is the female population count. Totals are therefore conservative relative to all-race counts.</t>
  </si>
</sst>
</file>

<file path=xl/styles.xml><?xml version="1.0" encoding="utf-8"?>
<styleSheet xmlns="http://schemas.openxmlformats.org/spreadsheetml/2006/main">
  <numFmts count="7">
    <numFmt numFmtId="164" formatCode="General"/>
    <numFmt numFmtId="165" formatCode="0.000"/>
    <numFmt numFmtId="166" formatCode="0.0%"/>
    <numFmt numFmtId="167" formatCode="General"/>
    <numFmt numFmtId="168" formatCode="#,##0"/>
    <numFmt numFmtId="169" formatCode="#,##0.0"/>
    <numFmt numFmtId="170"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b val="true"/>
      <sz val="10"/>
      <color rgb="FF9C0006"/>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808080"/>
        <bgColor rgb="FF969696"/>
      </patternFill>
    </fill>
    <fill>
      <patternFill patternType="solid">
        <fgColor rgb="FFD9E2F3"/>
        <bgColor rgb="FFD9D9D9"/>
      </patternFill>
    </fill>
    <fill>
      <patternFill patternType="solid">
        <fgColor rgb="FFFFF2CC"/>
        <bgColor rgb="FFFCE4E4"/>
      </patternFill>
    </fill>
    <fill>
      <patternFill patternType="solid">
        <fgColor rgb="FFFCE4E4"/>
        <bgColor rgb="FFFFF2CC"/>
      </patternFill>
    </fill>
    <fill>
      <patternFill patternType="solid">
        <fgColor rgb="FFFFFF00"/>
        <bgColor rgb="FFFFFF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66" fontId="8" fillId="5"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55.5" hidden="false" customHeight="tru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42" hidden="false" customHeight="true" outlineLevel="0" collapsed="false">
      <c r="A8" s="3" t="s">
        <v>5</v>
      </c>
    </row>
    <row r="9" customFormat="false" ht="27.75" hidden="false" customHeight="true" outlineLevel="0" collapsed="false">
      <c r="A9" s="3" t="s">
        <v>6</v>
      </c>
    </row>
    <row r="10" customFormat="false" ht="27.75" hidden="false" customHeight="true" outlineLevel="0" collapsed="false">
      <c r="A10" s="3" t="s">
        <v>7</v>
      </c>
    </row>
    <row r="11" customFormat="false" ht="27.75" hidden="false" customHeight="true" outlineLevel="0" collapsed="false">
      <c r="A11" s="3" t="s">
        <v>8</v>
      </c>
    </row>
    <row r="12" customFormat="false" ht="27.75" hidden="false" customHeight="true" outlineLevel="0" collapsed="false">
      <c r="A12" s="3" t="s">
        <v>9</v>
      </c>
    </row>
    <row r="13" customFormat="false" ht="15" hidden="false" customHeight="false" outlineLevel="0" collapsed="false">
      <c r="A13" s="3"/>
    </row>
    <row r="14" customFormat="false" ht="15" hidden="false" customHeight="false" outlineLevel="0" collapsed="false">
      <c r="A14" s="4" t="s">
        <v>10</v>
      </c>
    </row>
    <row r="15" customFormat="false" ht="84" hidden="false" customHeight="true" outlineLevel="0" collapsed="false">
      <c r="A15" s="3" t="s">
        <v>11</v>
      </c>
    </row>
    <row r="16" customFormat="false" ht="42" hidden="false" customHeight="true" outlineLevel="0" collapsed="false">
      <c r="A16" s="3" t="s">
        <v>12</v>
      </c>
    </row>
    <row r="17" customFormat="false" ht="15" hidden="false" customHeight="false" outlineLevel="0" collapsed="false">
      <c r="A17" s="3" t="s">
        <v>13</v>
      </c>
    </row>
    <row r="18" customFormat="false" ht="15" hidden="false" customHeight="false" outlineLevel="0" collapsed="false">
      <c r="A18" s="3"/>
    </row>
    <row r="19" customFormat="false" ht="15" hidden="false" customHeight="false" outlineLevel="0" collapsed="false">
      <c r="A19" s="4" t="s">
        <v>14</v>
      </c>
    </row>
    <row r="20" customFormat="false" ht="55.5" hidden="false" customHeight="true" outlineLevel="0" collapsed="false">
      <c r="A20" s="3" t="s">
        <v>15</v>
      </c>
    </row>
    <row r="21" customFormat="false" ht="42" hidden="false" customHeight="true" outlineLevel="0" collapsed="false">
      <c r="A21" s="3" t="s">
        <v>16</v>
      </c>
    </row>
    <row r="22" customFormat="false" ht="15" hidden="false" customHeight="false" outlineLevel="0" collapsed="false">
      <c r="A22" s="3"/>
    </row>
    <row r="23" customFormat="false" ht="15" hidden="false" customHeight="false" outlineLevel="0" collapsed="false">
      <c r="A23" s="4" t="s">
        <v>17</v>
      </c>
    </row>
    <row r="24" customFormat="false" ht="42" hidden="false" customHeight="true" outlineLevel="0" collapsed="false">
      <c r="A24" s="3" t="s">
        <v>18</v>
      </c>
    </row>
    <row r="25" customFormat="false" ht="42" hidden="false" customHeight="true" outlineLevel="0" collapsed="false">
      <c r="A25" s="3" t="s">
        <v>19</v>
      </c>
    </row>
    <row r="26" customFormat="false" ht="42" hidden="false" customHeight="true" outlineLevel="0" collapsed="false">
      <c r="A26" s="3" t="s">
        <v>20</v>
      </c>
    </row>
    <row r="27" customFormat="false" ht="55.5" hidden="false" customHeight="true" outlineLevel="0" collapsed="false">
      <c r="A27" s="3" t="s">
        <v>21</v>
      </c>
    </row>
    <row r="28" customFormat="false" ht="15" hidden="false" customHeight="false" outlineLevel="0" collapsed="false">
      <c r="A28" s="3"/>
    </row>
    <row r="29" customFormat="false" ht="15" hidden="false" customHeight="false" outlineLevel="0" collapsed="false">
      <c r="A29" s="4" t="s">
        <v>22</v>
      </c>
    </row>
    <row r="30" customFormat="false" ht="84" hidden="false" customHeight="true" outlineLevel="0" collapsed="false">
      <c r="A30"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7"/>
    <col collapsed="false" customWidth="true" hidden="false" outlineLevel="0" max="4" min="4" style="0" width="14"/>
    <col collapsed="false" customWidth="true" hidden="false" outlineLevel="0" max="6" min="5" style="0" width="16"/>
    <col collapsed="false" customWidth="true" hidden="false" outlineLevel="0" max="7" min="7" style="0" width="30"/>
    <col collapsed="false" customWidth="true" hidden="false" outlineLevel="0" max="9" min="8" style="0" width="10"/>
    <col collapsed="false" customWidth="true" hidden="false" outlineLevel="0" max="10" min="10" style="0" width="9"/>
    <col collapsed="false" customWidth="true" hidden="false" outlineLevel="0" max="11" min="11" style="0" width="11"/>
    <col collapsed="false" customWidth="true" hidden="false" outlineLevel="0" max="14" min="12" style="0" width="10"/>
    <col collapsed="false" customWidth="true" hidden="false" outlineLevel="0" max="15" min="15" style="0" width="9"/>
    <col collapsed="false" customWidth="true" hidden="false" outlineLevel="0" max="16" min="16" style="0" width="13"/>
    <col collapsed="false" customWidth="true" hidden="false" outlineLevel="0" max="20" min="17" style="0" width="15"/>
    <col collapsed="false" customWidth="true" hidden="false" outlineLevel="0" max="21" min="21" style="0" width="36"/>
    <col collapsed="false" customWidth="true" hidden="false" outlineLevel="0" max="29" min="22" style="0" width="9"/>
  </cols>
  <sheetData>
    <row r="1" customFormat="false" ht="42" hidden="false" customHeight="true" outlineLevel="0" collapsed="false">
      <c r="A1" s="6" t="s">
        <v>24</v>
      </c>
      <c r="B1" s="6" t="s">
        <v>25</v>
      </c>
      <c r="C1" s="6" t="s">
        <v>26</v>
      </c>
      <c r="D1" s="6" t="s">
        <v>27</v>
      </c>
      <c r="E1" s="6" t="s">
        <v>28</v>
      </c>
      <c r="F1" s="6" t="s">
        <v>29</v>
      </c>
      <c r="G1" s="6" t="s">
        <v>30</v>
      </c>
      <c r="H1" s="6" t="s">
        <v>31</v>
      </c>
      <c r="I1" s="6" t="s">
        <v>32</v>
      </c>
      <c r="J1" s="6" t="s">
        <v>33</v>
      </c>
      <c r="K1" s="6" t="s">
        <v>34</v>
      </c>
      <c r="L1" s="6" t="s">
        <v>35</v>
      </c>
      <c r="M1" s="6" t="s">
        <v>36</v>
      </c>
      <c r="N1" s="6" t="s">
        <v>37</v>
      </c>
      <c r="O1" s="6" t="s">
        <v>38</v>
      </c>
      <c r="P1" s="6" t="s">
        <v>39</v>
      </c>
      <c r="Q1" s="6" t="s">
        <v>40</v>
      </c>
      <c r="R1" s="6" t="s">
        <v>41</v>
      </c>
      <c r="S1" s="6" t="s">
        <v>42</v>
      </c>
      <c r="T1" s="6" t="s">
        <v>43</v>
      </c>
      <c r="U1" s="6" t="s">
        <v>44</v>
      </c>
      <c r="V1" s="7" t="s">
        <v>45</v>
      </c>
      <c r="W1" s="7" t="s">
        <v>46</v>
      </c>
      <c r="X1" s="7" t="s">
        <v>47</v>
      </c>
      <c r="Y1" s="7" t="s">
        <v>48</v>
      </c>
      <c r="Z1" s="7" t="s">
        <v>49</v>
      </c>
      <c r="AA1" s="7" t="s">
        <v>50</v>
      </c>
      <c r="AB1" s="7" t="s">
        <v>51</v>
      </c>
      <c r="AC1" s="7" t="s">
        <v>52</v>
      </c>
    </row>
    <row r="2" customFormat="false" ht="15" hidden="false" customHeight="false" outlineLevel="0" collapsed="false">
      <c r="A2" s="8" t="s">
        <v>53</v>
      </c>
      <c r="B2" s="9"/>
      <c r="C2" s="9"/>
      <c r="D2" s="9"/>
      <c r="E2" s="9"/>
      <c r="F2" s="9"/>
      <c r="G2" s="9"/>
      <c r="H2" s="9"/>
      <c r="I2" s="9"/>
      <c r="J2" s="9"/>
      <c r="K2" s="9"/>
      <c r="L2" s="9"/>
      <c r="M2" s="9"/>
      <c r="N2" s="9"/>
      <c r="O2" s="9"/>
      <c r="P2" s="9"/>
      <c r="Q2" s="9"/>
      <c r="R2" s="9"/>
      <c r="S2" s="9"/>
      <c r="T2" s="9"/>
      <c r="U2" s="9"/>
    </row>
    <row r="3" customFormat="false" ht="15" hidden="false" customHeight="false" outlineLevel="0" collapsed="false">
      <c r="A3" s="10" t="s">
        <v>53</v>
      </c>
      <c r="B3" s="10" t="s">
        <v>54</v>
      </c>
      <c r="C3" s="10" t="n">
        <v>1998</v>
      </c>
      <c r="D3" s="10" t="s">
        <v>55</v>
      </c>
      <c r="E3" s="10" t="s">
        <v>56</v>
      </c>
      <c r="F3" s="10" t="s">
        <v>57</v>
      </c>
      <c r="G3" s="10" t="s">
        <v>58</v>
      </c>
      <c r="H3" s="10" t="n">
        <v>2.4</v>
      </c>
      <c r="I3" s="10" t="n">
        <v>29.8</v>
      </c>
      <c r="J3" s="10" t="s">
        <v>59</v>
      </c>
      <c r="K3" s="11" t="n">
        <v>0.96</v>
      </c>
      <c r="L3" s="11" t="n">
        <v>0.89</v>
      </c>
      <c r="M3" s="11" t="n">
        <v>1.05</v>
      </c>
      <c r="N3" s="12" t="n">
        <f aca="false">LN(K3)</f>
        <v>-0.0408219945202552</v>
      </c>
      <c r="O3" s="12" t="n">
        <f aca="false">(LN(M3)-LN(L3))/(2*1.959964)</f>
        <v>0.0421752594500163</v>
      </c>
      <c r="P3" s="12" t="n">
        <f aca="false">IF(O3&gt;0,1/O3^2,0)</f>
        <v>562.191757740397</v>
      </c>
      <c r="Q3" s="13" t="n">
        <v>0</v>
      </c>
      <c r="R3" s="13" t="n">
        <v>0</v>
      </c>
      <c r="S3" s="12" t="n">
        <f aca="false">IF(Q3=1,1/(O3^2+$Z$14),0)</f>
        <v>0</v>
      </c>
      <c r="T3" s="12" t="n">
        <f aca="false">IF(R3=1,1/(O3^2+$Z$15),0)</f>
        <v>0</v>
      </c>
      <c r="U3" s="14" t="s">
        <v>60</v>
      </c>
    </row>
    <row r="4" customFormat="false" ht="15" hidden="false" customHeight="false" outlineLevel="0" collapsed="false">
      <c r="A4" s="10" t="s">
        <v>53</v>
      </c>
      <c r="B4" s="10" t="s">
        <v>61</v>
      </c>
      <c r="C4" s="10" t="n">
        <v>2012</v>
      </c>
      <c r="D4" s="10" t="s">
        <v>62</v>
      </c>
      <c r="E4" s="10" t="s">
        <v>63</v>
      </c>
      <c r="F4" s="10" t="s">
        <v>64</v>
      </c>
      <c r="G4" s="10" t="s">
        <v>65</v>
      </c>
      <c r="H4" s="10" t="n">
        <v>1.68</v>
      </c>
      <c r="I4" s="10" t="n">
        <v>1.68</v>
      </c>
      <c r="J4" s="10" t="s">
        <v>66</v>
      </c>
      <c r="K4" s="11" t="n">
        <v>1.16</v>
      </c>
      <c r="L4" s="11" t="n">
        <v>1.05</v>
      </c>
      <c r="M4" s="11" t="n">
        <v>1.29</v>
      </c>
      <c r="N4" s="12" t="n">
        <f aca="false">LN(K4)</f>
        <v>0.148420005118273</v>
      </c>
      <c r="O4" s="12" t="n">
        <f aca="false">(LN(M4)-LN(L4))/(2*1.959964)</f>
        <v>0.0525142436810443</v>
      </c>
      <c r="P4" s="12" t="n">
        <f aca="false">IF(O4&gt;0,1/O4^2,0)</f>
        <v>362.615003836315</v>
      </c>
      <c r="Q4" s="13" t="n">
        <v>1</v>
      </c>
      <c r="R4" s="13" t="n">
        <v>1</v>
      </c>
      <c r="S4" s="12" t="n">
        <f aca="false">IF(Q4=1,1/(O4^2+$Z$14),0)</f>
        <v>317.595496682871</v>
      </c>
      <c r="T4" s="12" t="n">
        <f aca="false">IF(R4=1,1/(O4^2+$Z$15),0)</f>
        <v>362.615003836315</v>
      </c>
      <c r="U4" s="14" t="s">
        <v>67</v>
      </c>
    </row>
    <row r="5" customFormat="false" ht="15" hidden="false" customHeight="false" outlineLevel="0" collapsed="false">
      <c r="A5" s="10" t="s">
        <v>53</v>
      </c>
      <c r="B5" s="10" t="s">
        <v>68</v>
      </c>
      <c r="C5" s="10" t="n">
        <v>2002</v>
      </c>
      <c r="D5" s="10" t="s">
        <v>55</v>
      </c>
      <c r="E5" s="10" t="s">
        <v>69</v>
      </c>
      <c r="F5" s="10" t="s">
        <v>64</v>
      </c>
      <c r="G5" s="10" t="s">
        <v>70</v>
      </c>
      <c r="H5" s="10" t="n">
        <v>10</v>
      </c>
      <c r="I5" s="10" t="n">
        <v>20</v>
      </c>
      <c r="J5" s="10" t="s">
        <v>71</v>
      </c>
      <c r="K5" s="11" t="n">
        <v>1.08</v>
      </c>
      <c r="L5" s="11" t="n">
        <v>0.87</v>
      </c>
      <c r="M5" s="11" t="n">
        <v>1.35</v>
      </c>
      <c r="N5" s="12" t="n">
        <f aca="false">LN(K5)</f>
        <v>0.0769610411361284</v>
      </c>
      <c r="O5" s="12" t="n">
        <f aca="false">(LN(M5)-LN(L5))/(2*1.959964)</f>
        <v>0.112085390288762</v>
      </c>
      <c r="P5" s="12" t="n">
        <f aca="false">IF(O5&gt;0,1/O5^2,0)</f>
        <v>79.5979683885568</v>
      </c>
      <c r="Q5" s="13" t="n">
        <v>0</v>
      </c>
      <c r="R5" s="13" t="n">
        <v>0</v>
      </c>
      <c r="S5" s="12" t="n">
        <f aca="false">IF(Q5=1,1/(O5^2+$Z$14),0)</f>
        <v>0</v>
      </c>
      <c r="T5" s="12" t="n">
        <f aca="false">IF(R5=1,1/(O5^2+$Z$15),0)</f>
        <v>0</v>
      </c>
      <c r="U5" s="14" t="s">
        <v>72</v>
      </c>
    </row>
    <row r="6" customFormat="false" ht="15" hidden="false" customHeight="false" outlineLevel="0" collapsed="false">
      <c r="A6" s="10" t="s">
        <v>53</v>
      </c>
      <c r="B6" s="10" t="s">
        <v>73</v>
      </c>
      <c r="C6" s="10" t="n">
        <v>1995</v>
      </c>
      <c r="D6" s="10" t="s">
        <v>74</v>
      </c>
      <c r="E6" s="10" t="s">
        <v>75</v>
      </c>
      <c r="F6" s="10" t="s">
        <v>57</v>
      </c>
      <c r="G6" s="10" t="s">
        <v>76</v>
      </c>
      <c r="H6" s="10" t="n">
        <v>25</v>
      </c>
      <c r="I6" s="10" t="n">
        <v>50</v>
      </c>
      <c r="J6" s="10" t="s">
        <v>59</v>
      </c>
      <c r="K6" s="11" t="n">
        <v>1.91</v>
      </c>
      <c r="L6" s="11" t="n">
        <v>1.36</v>
      </c>
      <c r="M6" s="11" t="n">
        <v>2.67</v>
      </c>
      <c r="N6" s="12" t="n">
        <f aca="false">LN(K6)</f>
        <v>0.647103242058538</v>
      </c>
      <c r="O6" s="12" t="n">
        <f aca="false">(LN(M6)-LN(L6))/(2*1.959964)</f>
        <v>0.172093409027971</v>
      </c>
      <c r="P6" s="12" t="n">
        <f aca="false">IF(O6&gt;0,1/O6^2,0)</f>
        <v>33.7653708986448</v>
      </c>
      <c r="Q6" s="13" t="n">
        <v>0</v>
      </c>
      <c r="R6" s="13" t="n">
        <v>0</v>
      </c>
      <c r="S6" s="12" t="n">
        <f aca="false">IF(Q6=1,1/(O6^2+$Z$14),0)</f>
        <v>0</v>
      </c>
      <c r="T6" s="12" t="n">
        <f aca="false">IF(R6=1,1/(O6^2+$Z$15),0)</f>
        <v>0</v>
      </c>
      <c r="U6" s="14" t="s">
        <v>77</v>
      </c>
    </row>
    <row r="7" customFormat="false" ht="15" hidden="false" customHeight="false" outlineLevel="0" collapsed="false">
      <c r="A7" s="10" t="s">
        <v>53</v>
      </c>
      <c r="B7" s="10" t="s">
        <v>78</v>
      </c>
      <c r="C7" s="10" t="n">
        <v>1992</v>
      </c>
      <c r="D7" s="10" t="s">
        <v>62</v>
      </c>
      <c r="E7" s="10" t="s">
        <v>79</v>
      </c>
      <c r="F7" s="10" t="s">
        <v>57</v>
      </c>
      <c r="G7" s="10" t="s">
        <v>80</v>
      </c>
      <c r="H7" s="10"/>
      <c r="I7" s="10" t="n">
        <v>44.22</v>
      </c>
      <c r="J7" s="10" t="s">
        <v>66</v>
      </c>
      <c r="K7" s="11" t="n">
        <v>1.5</v>
      </c>
      <c r="L7" s="11" t="n">
        <v>0.12</v>
      </c>
      <c r="M7" s="11" t="n">
        <v>18.25</v>
      </c>
      <c r="N7" s="12" t="n">
        <f aca="false">LN(K7)</f>
        <v>0.405465108108164</v>
      </c>
      <c r="O7" s="12" t="n">
        <f aca="false">(LN(M7)-LN(L7))/(2*1.959964)</f>
        <v>1.28176553656817</v>
      </c>
      <c r="P7" s="12" t="n">
        <f aca="false">IF(O7&gt;0,1/O7^2,0)</f>
        <v>0.60867129287687</v>
      </c>
      <c r="Q7" s="13" t="n">
        <v>1</v>
      </c>
      <c r="R7" s="13" t="n">
        <v>1</v>
      </c>
      <c r="S7" s="12" t="n">
        <f aca="false">IF(Q7=1,1/(O7^2+$Z$14),0)</f>
        <v>0.608526501417107</v>
      </c>
      <c r="T7" s="12" t="n">
        <f aca="false">IF(R7=1,1/(O7^2+$Z$15),0)</f>
        <v>0.60867129287687</v>
      </c>
      <c r="U7" s="14" t="s">
        <v>81</v>
      </c>
    </row>
    <row r="8" customFormat="false" ht="15" hidden="false" customHeight="false" outlineLevel="0" collapsed="false">
      <c r="A8" s="10" t="s">
        <v>53</v>
      </c>
      <c r="B8" s="10" t="s">
        <v>82</v>
      </c>
      <c r="C8" s="10" t="n">
        <v>2017</v>
      </c>
      <c r="D8" s="10" t="s">
        <v>62</v>
      </c>
      <c r="E8" s="10" t="s">
        <v>83</v>
      </c>
      <c r="F8" s="10" t="s">
        <v>84</v>
      </c>
      <c r="G8" s="10" t="s">
        <v>85</v>
      </c>
      <c r="H8" s="10"/>
      <c r="I8" s="10"/>
      <c r="J8" s="10" t="s">
        <v>66</v>
      </c>
      <c r="K8" s="11" t="n">
        <v>1.2</v>
      </c>
      <c r="L8" s="11" t="n">
        <v>1.04</v>
      </c>
      <c r="M8" s="11" t="n">
        <v>1.34</v>
      </c>
      <c r="N8" s="12" t="n">
        <f aca="false">LN(K8)</f>
        <v>0.182321556793955</v>
      </c>
      <c r="O8" s="12" t="n">
        <f aca="false">(LN(M8)-LN(L8))/(2*1.959964)</f>
        <v>0.0646565194078919</v>
      </c>
      <c r="P8" s="12" t="n">
        <f aca="false">IF(O8&gt;0,1/O8^2,0)</f>
        <v>239.207810597934</v>
      </c>
      <c r="Q8" s="13" t="n">
        <v>1</v>
      </c>
      <c r="R8" s="13" t="n">
        <v>1</v>
      </c>
      <c r="S8" s="12" t="n">
        <f aca="false">IF(Q8=1,1/(O8^2+$Z$14),0)</f>
        <v>218.752373645315</v>
      </c>
      <c r="T8" s="12" t="n">
        <f aca="false">IF(R8=1,1/(O8^2+$Z$15),0)</f>
        <v>239.207810597934</v>
      </c>
      <c r="U8" s="14" t="s">
        <v>86</v>
      </c>
    </row>
    <row r="9" customFormat="false" ht="15" hidden="false" customHeight="false" outlineLevel="0" collapsed="false">
      <c r="A9" s="10" t="s">
        <v>53</v>
      </c>
      <c r="B9" s="10" t="s">
        <v>87</v>
      </c>
      <c r="C9" s="10" t="n">
        <v>1997</v>
      </c>
      <c r="D9" s="10" t="s">
        <v>88</v>
      </c>
      <c r="E9" s="10" t="s">
        <v>89</v>
      </c>
      <c r="F9" s="10" t="s">
        <v>64</v>
      </c>
      <c r="G9" s="10" t="s">
        <v>90</v>
      </c>
      <c r="H9" s="10"/>
      <c r="I9" s="10"/>
      <c r="J9" s="10" t="s">
        <v>59</v>
      </c>
      <c r="K9" s="11" t="n">
        <v>1.02</v>
      </c>
      <c r="L9" s="11" t="n">
        <v>0.62</v>
      </c>
      <c r="M9" s="11" t="n">
        <v>1.68</v>
      </c>
      <c r="N9" s="12" t="n">
        <f aca="false">LN(K9)</f>
        <v>0.0198026272961797</v>
      </c>
      <c r="O9" s="12" t="n">
        <f aca="false">(LN(M9)-LN(L9))/(2*1.959964)</f>
        <v>0.254297934645271</v>
      </c>
      <c r="P9" s="12" t="n">
        <f aca="false">IF(O9&gt;0,1/O9^2,0)</f>
        <v>15.4637327027177</v>
      </c>
      <c r="Q9" s="13" t="n">
        <v>1</v>
      </c>
      <c r="R9" s="13" t="n">
        <v>1</v>
      </c>
      <c r="S9" s="12" t="n">
        <f aca="false">IF(Q9=1,1/(O9^2+$Z$14),0)</f>
        <v>15.3708164043241</v>
      </c>
      <c r="T9" s="12" t="n">
        <f aca="false">IF(R9=1,1/(O9^2+$Z$15),0)</f>
        <v>15.4637327027177</v>
      </c>
      <c r="U9" s="14" t="s">
        <v>91</v>
      </c>
    </row>
    <row r="10" customFormat="false" ht="15" hidden="false" customHeight="false" outlineLevel="0" collapsed="false">
      <c r="A10" s="10" t="s">
        <v>53</v>
      </c>
      <c r="B10" s="10" t="s">
        <v>87</v>
      </c>
      <c r="C10" s="10" t="n">
        <v>1998</v>
      </c>
      <c r="D10" s="10" t="s">
        <v>88</v>
      </c>
      <c r="E10" s="10" t="s">
        <v>89</v>
      </c>
      <c r="F10" s="10" t="s">
        <v>64</v>
      </c>
      <c r="G10" s="10" t="s">
        <v>92</v>
      </c>
      <c r="H10" s="10" t="n">
        <v>0.02</v>
      </c>
      <c r="I10" s="10" t="n">
        <v>16.5</v>
      </c>
      <c r="J10" s="10" t="s">
        <v>59</v>
      </c>
      <c r="K10" s="11" t="n">
        <v>0.88</v>
      </c>
      <c r="L10" s="11" t="n">
        <v>0.59</v>
      </c>
      <c r="M10" s="11" t="n">
        <v>1.32</v>
      </c>
      <c r="N10" s="12" t="n">
        <f aca="false">LN(K10)</f>
        <v>-0.127833371509885</v>
      </c>
      <c r="O10" s="12" t="n">
        <f aca="false">(LN(M10)-LN(L10))/(2*1.959964)</f>
        <v>0.205428385082749</v>
      </c>
      <c r="P10" s="12" t="n">
        <f aca="false">IF(O10&gt;0,1/O10^2,0)</f>
        <v>23.6962212317116</v>
      </c>
      <c r="Q10" s="13" t="n">
        <v>1</v>
      </c>
      <c r="R10" s="13" t="n">
        <v>1</v>
      </c>
      <c r="S10" s="12" t="n">
        <f aca="false">IF(Q10=1,1/(O10^2+$Z$14),0)</f>
        <v>23.4787336840703</v>
      </c>
      <c r="T10" s="12" t="n">
        <f aca="false">IF(R10=1,1/(O10^2+$Z$15),0)</f>
        <v>23.6962212317116</v>
      </c>
      <c r="U10" s="14" t="s">
        <v>91</v>
      </c>
    </row>
    <row r="11" customFormat="false" ht="15" hidden="false" customHeight="false" outlineLevel="0" collapsed="false">
      <c r="A11" s="10" t="s">
        <v>53</v>
      </c>
      <c r="B11" s="10" t="s">
        <v>93</v>
      </c>
      <c r="C11" s="10" t="n">
        <v>2008</v>
      </c>
      <c r="D11" s="10" t="s">
        <v>62</v>
      </c>
      <c r="E11" s="10" t="s">
        <v>94</v>
      </c>
      <c r="F11" s="10" t="s">
        <v>57</v>
      </c>
      <c r="G11" s="10" t="s">
        <v>95</v>
      </c>
      <c r="H11" s="10" t="n">
        <v>10.84</v>
      </c>
      <c r="I11" s="10" t="n">
        <v>19.11</v>
      </c>
      <c r="J11" s="10" t="s">
        <v>66</v>
      </c>
      <c r="K11" s="11" t="n">
        <v>1.2</v>
      </c>
      <c r="L11" s="11" t="n">
        <v>0.5</v>
      </c>
      <c r="M11" s="11" t="n">
        <v>2.7</v>
      </c>
      <c r="N11" s="12" t="n">
        <f aca="false">LN(K11)</f>
        <v>0.182321556793955</v>
      </c>
      <c r="O11" s="12" t="n">
        <f aca="false">(LN(M11)-LN(L11))/(2*1.959964)</f>
        <v>0.430211716534138</v>
      </c>
      <c r="P11" s="12" t="n">
        <f aca="false">IF(O11&gt;0,1/O11^2,0)</f>
        <v>5.4030070239271</v>
      </c>
      <c r="Q11" s="13" t="n">
        <v>1</v>
      </c>
      <c r="R11" s="13" t="n">
        <v>1</v>
      </c>
      <c r="S11" s="12" t="n">
        <f aca="false">IF(Q11=1,1/(O11^2+$Z$14),0)</f>
        <v>5.39161934050232</v>
      </c>
      <c r="T11" s="12" t="n">
        <f aca="false">IF(R11=1,1/(O11^2+$Z$15),0)</f>
        <v>5.4030070239271</v>
      </c>
      <c r="U11" s="14" t="s">
        <v>96</v>
      </c>
    </row>
    <row r="12" customFormat="false" ht="15" hidden="false" customHeight="false" outlineLevel="0" collapsed="false">
      <c r="A12" s="10" t="s">
        <v>53</v>
      </c>
      <c r="B12" s="10" t="s">
        <v>97</v>
      </c>
      <c r="C12" s="10" t="n">
        <v>1997</v>
      </c>
      <c r="D12" s="10" t="s">
        <v>62</v>
      </c>
      <c r="E12" s="10" t="s">
        <v>63</v>
      </c>
      <c r="F12" s="10" t="s">
        <v>64</v>
      </c>
      <c r="G12" s="10" t="s">
        <v>98</v>
      </c>
      <c r="H12" s="10" t="n">
        <v>0.97</v>
      </c>
      <c r="I12" s="10" t="n">
        <v>1.99</v>
      </c>
      <c r="J12" s="10" t="s">
        <v>66</v>
      </c>
      <c r="K12" s="11" t="n">
        <v>1.02</v>
      </c>
      <c r="L12" s="11" t="n">
        <v>0.93</v>
      </c>
      <c r="M12" s="11" t="n">
        <v>1.11</v>
      </c>
      <c r="N12" s="12" t="n">
        <f aca="false">LN(K12)</f>
        <v>0.0198026272961797</v>
      </c>
      <c r="O12" s="12" t="n">
        <f aca="false">(LN(M12)-LN(L12))/(2*1.959964)</f>
        <v>0.0451362137669565</v>
      </c>
      <c r="P12" s="12" t="n">
        <f aca="false">IF(O12&gt;0,1/O12^2,0)</f>
        <v>490.851077516155</v>
      </c>
      <c r="Q12" s="13" t="n">
        <v>1</v>
      </c>
      <c r="R12" s="13" t="n">
        <v>0</v>
      </c>
      <c r="S12" s="12" t="n">
        <f aca="false">IF(Q12=1,1/(O12^2+$Z$14),0)</f>
        <v>411.82917380823</v>
      </c>
      <c r="T12" s="12" t="n">
        <f aca="false">IF(R12=1,1/(O12^2+$Z$15),0)</f>
        <v>0</v>
      </c>
      <c r="U12" s="14" t="s">
        <v>99</v>
      </c>
    </row>
    <row r="13" customFormat="false" ht="15" hidden="false" customHeight="false" outlineLevel="0" collapsed="false">
      <c r="A13" s="10" t="s">
        <v>53</v>
      </c>
      <c r="B13" s="10" t="s">
        <v>97</v>
      </c>
      <c r="C13" s="10" t="n">
        <v>1998</v>
      </c>
      <c r="D13" s="10" t="s">
        <v>62</v>
      </c>
      <c r="E13" s="10" t="s">
        <v>63</v>
      </c>
      <c r="F13" s="10" t="s">
        <v>64</v>
      </c>
      <c r="G13" s="10" t="s">
        <v>98</v>
      </c>
      <c r="H13" s="10" t="n">
        <v>0.97</v>
      </c>
      <c r="I13" s="10" t="n">
        <v>1.99</v>
      </c>
      <c r="J13" s="10" t="s">
        <v>66</v>
      </c>
      <c r="K13" s="11" t="n">
        <v>1.14</v>
      </c>
      <c r="L13" s="11" t="n">
        <v>1.04</v>
      </c>
      <c r="M13" s="11" t="n">
        <v>1.25</v>
      </c>
      <c r="N13" s="12" t="n">
        <f aca="false">LN(K13)</f>
        <v>0.131028262406404</v>
      </c>
      <c r="O13" s="12" t="n">
        <f aca="false">(LN(M13)-LN(L13))/(2*1.959964)</f>
        <v>0.0469199531626419</v>
      </c>
      <c r="P13" s="12" t="n">
        <f aca="false">IF(O13&gt;0,1/O13^2,0)</f>
        <v>454.239461338629</v>
      </c>
      <c r="Q13" s="13" t="n">
        <v>1</v>
      </c>
      <c r="R13" s="13" t="n">
        <v>1</v>
      </c>
      <c r="S13" s="12" t="n">
        <f aca="false">IF(Q13=1,1/(O13^2+$Z$14),0)</f>
        <v>385.743614889324</v>
      </c>
      <c r="T13" s="12" t="n">
        <f aca="false">IF(R13=1,1/(O13^2+$Z$15),0)</f>
        <v>454.239461338629</v>
      </c>
      <c r="U13" s="14" t="s">
        <v>100</v>
      </c>
    </row>
    <row r="14" customFormat="false" ht="15" hidden="false" customHeight="false" outlineLevel="0" collapsed="false">
      <c r="A14" s="15"/>
      <c r="B14" s="15" t="s">
        <v>101</v>
      </c>
      <c r="C14" s="15"/>
      <c r="D14" s="15"/>
      <c r="E14" s="15"/>
      <c r="F14" s="15"/>
      <c r="G14" s="15"/>
      <c r="H14" s="15"/>
      <c r="I14" s="15"/>
      <c r="J14" s="15" t="s">
        <v>102</v>
      </c>
      <c r="K14" s="16" t="n">
        <f aca="false">IF(V14&gt;0,EXP(AB14),"")</f>
        <v>1.11029282470282</v>
      </c>
      <c r="L14" s="16" t="n">
        <f aca="false">IF(V14&gt;0,EXP(AB14-1.959964*AC14),"")</f>
        <v>1.05320701314555</v>
      </c>
      <c r="M14" s="16" t="n">
        <f aca="false">IF(V14&gt;0,EXP(AB14+1.959964*AC14),"")</f>
        <v>1.17047279518656</v>
      </c>
      <c r="N14" s="15"/>
      <c r="O14" s="15"/>
      <c r="P14" s="15"/>
      <c r="Q14" s="15"/>
      <c r="R14" s="15"/>
      <c r="S14" s="15"/>
      <c r="T14" s="15"/>
      <c r="U14" s="15"/>
      <c r="V14" s="15" t="n">
        <f aca="false">SUM($Q$3:$Q$13)</f>
        <v>8</v>
      </c>
      <c r="W14" s="16" t="n">
        <f aca="false">IF(V14&gt;0,SUMPRODUCT($Q$3:$Q$13,$P$3:$P$13,$N$3:$N$13)/SUMPRODUCT($Q$3:$Q$13,$P$3:$P$13),0)</f>
        <v>0.10375033069177</v>
      </c>
      <c r="X14" s="16" t="n">
        <f aca="false">IF(V14&gt;1,SUMPRODUCT($Q$3:$Q$13,$P$3:$P$13,($N$3:$N$13-W14)^2),0)</f>
        <v>7.46600833598997</v>
      </c>
      <c r="Y14" s="16" t="n">
        <f aca="false">IF(V14&gt;1,SUMPRODUCT($Q$3:$Q$13,$P$3:$P$13)-SUMPRODUCT($Q$3:$Q$13,$P$3:$P$13,$P$3:$P$13)/SUMPRODUCT($Q$3:$Q$13,$P$3:$P$13),0)</f>
        <v>1192.10100674936</v>
      </c>
      <c r="Z14" s="16" t="n">
        <f aca="false">IF(Y14&gt;0,MAX(0,(X14-(V14-1))/Y14),0)</f>
        <v>0.000390913465680807</v>
      </c>
      <c r="AA14" s="17" t="n">
        <f aca="false">IF(AND(V14&gt;1,X14&gt;0),MAX(0,(X14-(V14-1))/X14),0)</f>
        <v>0.0624173340047819</v>
      </c>
      <c r="AB14" s="16" t="n">
        <f aca="false">IF(SUM($S$3:$S$13)&gt;0,SUMPRODUCT($S$3:$S$13,$N$3:$N$13)/SUM($S$3:$S$13),0)</f>
        <v>0.104623786572121</v>
      </c>
      <c r="AC14" s="16" t="n">
        <f aca="false">IF(SUM($S$3:$S$13)&gt;0,SQRT(1/SUM($S$3:$S$13)),0)</f>
        <v>0.0269310962149326</v>
      </c>
    </row>
    <row r="15" customFormat="false" ht="15" hidden="false" customHeight="false" outlineLevel="0" collapsed="false">
      <c r="A15" s="15"/>
      <c r="B15" s="15" t="s">
        <v>103</v>
      </c>
      <c r="C15" s="15"/>
      <c r="D15" s="15"/>
      <c r="E15" s="15"/>
      <c r="F15" s="15"/>
      <c r="G15" s="15"/>
      <c r="H15" s="15"/>
      <c r="I15" s="15"/>
      <c r="J15" s="15" t="s">
        <v>102</v>
      </c>
      <c r="K15" s="16" t="n">
        <f aca="false">IF(V15&gt;0,EXP(AB15),"")</f>
        <v>1.15161832785304</v>
      </c>
      <c r="L15" s="16" t="n">
        <f aca="false">IF(V15&gt;0,EXP(AB15-1.959964*AC15),"")</f>
        <v>1.08557106239993</v>
      </c>
      <c r="M15" s="16" t="n">
        <f aca="false">IF(V15&gt;0,EXP(AB15+1.959964*AC15),"")</f>
        <v>1.22168397720097</v>
      </c>
      <c r="N15" s="15"/>
      <c r="O15" s="15"/>
      <c r="P15" s="15"/>
      <c r="Q15" s="15"/>
      <c r="R15" s="15"/>
      <c r="S15" s="15"/>
      <c r="T15" s="15"/>
      <c r="U15" s="15"/>
      <c r="V15" s="15" t="n">
        <f aca="false">SUM($R$3:$R$13)</f>
        <v>7</v>
      </c>
      <c r="W15" s="16" t="n">
        <f aca="false">IF(V15&gt;0,SUMPRODUCT($R$3:$R$13,$P$3:$P$13,$N$3:$N$13)/SUMPRODUCT($R$3:$R$13,$P$3:$P$13),0)</f>
        <v>0.141168194749975</v>
      </c>
      <c r="X15" s="16" t="n">
        <f aca="false">IF(V15&gt;1,SUMPRODUCT($R$3:$R$13,$P$3:$P$13,($N$3:$N$13-W15)^2),0)</f>
        <v>2.46504052837268</v>
      </c>
      <c r="Y15" s="16" t="n">
        <f aca="false">IF(V15&gt;1,SUMPRODUCT($R$3:$R$13,$P$3:$P$13)-SUMPRODUCT($R$3:$R$13,$P$3:$P$13,$P$3:$P$13)/SUMPRODUCT($R$3:$R$13,$P$3:$P$13),0)</f>
        <v>741.751963356081</v>
      </c>
      <c r="Z15" s="16" t="n">
        <f aca="false">IF(Y15&gt;0,MAX(0,(X15-(V15-1))/Y15),0)</f>
        <v>0</v>
      </c>
      <c r="AA15" s="17" t="n">
        <f aca="false">IF(AND(V15&gt;1,X15&gt;0),MAX(0,(X15-(V15-1))/X15),0)</f>
        <v>0</v>
      </c>
      <c r="AB15" s="16" t="n">
        <f aca="false">IF(SUM($T$3:$T$13)&gt;0,SUMPRODUCT($T$3:$T$13,$N$3:$N$13)/SUM($T$3:$T$13),0)</f>
        <v>0.141168194749975</v>
      </c>
      <c r="AC15" s="16" t="n">
        <f aca="false">IF(SUM($T$3:$T$13)&gt;0,SQRT(1/SUM($T$3:$T$13)),0)</f>
        <v>0.0301342378866658</v>
      </c>
    </row>
    <row r="17" customFormat="false" ht="15" hidden="false" customHeight="false" outlineLevel="0" collapsed="false">
      <c r="A17" s="8" t="s">
        <v>104</v>
      </c>
      <c r="B17" s="9"/>
      <c r="C17" s="9"/>
      <c r="D17" s="9"/>
      <c r="E17" s="9"/>
      <c r="F17" s="9"/>
      <c r="G17" s="9"/>
      <c r="H17" s="9"/>
      <c r="I17" s="9"/>
      <c r="J17" s="9"/>
      <c r="K17" s="9"/>
      <c r="L17" s="9"/>
      <c r="M17" s="9"/>
      <c r="N17" s="9"/>
      <c r="O17" s="9"/>
      <c r="P17" s="9"/>
      <c r="Q17" s="9"/>
      <c r="R17" s="9"/>
      <c r="S17" s="9"/>
      <c r="T17" s="9"/>
      <c r="U17" s="9"/>
    </row>
    <row r="18" customFormat="false" ht="15" hidden="false" customHeight="false" outlineLevel="0" collapsed="false">
      <c r="A18" s="10" t="s">
        <v>104</v>
      </c>
      <c r="B18" s="10" t="s">
        <v>54</v>
      </c>
      <c r="C18" s="10" t="n">
        <v>1998</v>
      </c>
      <c r="D18" s="10" t="s">
        <v>55</v>
      </c>
      <c r="E18" s="10" t="s">
        <v>56</v>
      </c>
      <c r="F18" s="10" t="s">
        <v>57</v>
      </c>
      <c r="G18" s="10" t="s">
        <v>58</v>
      </c>
      <c r="H18" s="10" t="n">
        <v>2.4</v>
      </c>
      <c r="I18" s="10" t="n">
        <v>29.8</v>
      </c>
      <c r="J18" s="10" t="s">
        <v>59</v>
      </c>
      <c r="K18" s="11" t="n">
        <v>1.06</v>
      </c>
      <c r="L18" s="11" t="n">
        <v>0.98</v>
      </c>
      <c r="M18" s="11" t="n">
        <v>1.14</v>
      </c>
      <c r="N18" s="12" t="n">
        <f aca="false">LN(K18)</f>
        <v>0.0582689081239758</v>
      </c>
      <c r="O18" s="12" t="n">
        <f aca="false">(LN(M18)-LN(L18))/(2*1.959964)</f>
        <v>0.0385800376241409</v>
      </c>
      <c r="P18" s="12" t="n">
        <f aca="false">IF(O18&gt;0,1/O18^2,0)</f>
        <v>671.853689300189</v>
      </c>
      <c r="Q18" s="13" t="n">
        <v>0</v>
      </c>
      <c r="R18" s="13" t="n">
        <v>0</v>
      </c>
      <c r="S18" s="12" t="n">
        <f aca="false">IF(Q18=1,1/(O18^2+$Z$22),0)</f>
        <v>0</v>
      </c>
      <c r="T18" s="12" t="n">
        <f aca="false">IF(R18=1,1/(O18^2+$Z$23),0)</f>
        <v>0</v>
      </c>
      <c r="U18" s="14"/>
    </row>
    <row r="19" customFormat="false" ht="15" hidden="false" customHeight="false" outlineLevel="0" collapsed="false">
      <c r="A19" s="10" t="s">
        <v>104</v>
      </c>
      <c r="B19" s="10" t="s">
        <v>105</v>
      </c>
      <c r="C19" s="10" t="n">
        <v>2013</v>
      </c>
      <c r="D19" s="10" t="s">
        <v>62</v>
      </c>
      <c r="E19" s="10" t="s">
        <v>63</v>
      </c>
      <c r="F19" s="10" t="s">
        <v>64</v>
      </c>
      <c r="G19" s="10" t="s">
        <v>106</v>
      </c>
      <c r="H19" s="10" t="n">
        <v>1.98</v>
      </c>
      <c r="I19" s="10" t="n">
        <v>2.92</v>
      </c>
      <c r="J19" s="10" t="s">
        <v>66</v>
      </c>
      <c r="K19" s="11" t="n">
        <v>1.05</v>
      </c>
      <c r="L19" s="11" t="n">
        <v>0.91</v>
      </c>
      <c r="M19" s="11" t="n">
        <v>1.19</v>
      </c>
      <c r="N19" s="12" t="n">
        <f aca="false">LN(K19)</f>
        <v>0.0487901641694321</v>
      </c>
      <c r="O19" s="12" t="n">
        <f aca="false">(LN(M19)-LN(L19))/(2*1.959964)</f>
        <v>0.0684359474446162</v>
      </c>
      <c r="P19" s="12" t="n">
        <f aca="false">IF(O19&gt;0,1/O19^2,0)</f>
        <v>213.516495064349</v>
      </c>
      <c r="Q19" s="13" t="n">
        <v>1</v>
      </c>
      <c r="R19" s="13" t="n">
        <v>1</v>
      </c>
      <c r="S19" s="12" t="n">
        <f aca="false">IF(Q19=1,1/(O19^2+$Z$22),0)</f>
        <v>213.516495064349</v>
      </c>
      <c r="T19" s="12" t="n">
        <f aca="false">IF(R19=1,1/(O19^2+$Z$23),0)</f>
        <v>213.516495064349</v>
      </c>
      <c r="U19" s="14" t="s">
        <v>107</v>
      </c>
    </row>
    <row r="20" customFormat="false" ht="15" hidden="false" customHeight="false" outlineLevel="0" collapsed="false">
      <c r="A20" s="10" t="s">
        <v>104</v>
      </c>
      <c r="B20" s="10" t="s">
        <v>93</v>
      </c>
      <c r="C20" s="10" t="n">
        <v>2008</v>
      </c>
      <c r="D20" s="10" t="s">
        <v>62</v>
      </c>
      <c r="E20" s="10" t="s">
        <v>94</v>
      </c>
      <c r="F20" s="10" t="s">
        <v>57</v>
      </c>
      <c r="G20" s="10" t="s">
        <v>95</v>
      </c>
      <c r="H20" s="10" t="n">
        <v>10.84</v>
      </c>
      <c r="I20" s="10" t="n">
        <v>19.11</v>
      </c>
      <c r="J20" s="10" t="s">
        <v>66</v>
      </c>
      <c r="K20" s="11" t="n">
        <v>1.2</v>
      </c>
      <c r="L20" s="11" t="n">
        <v>0.6</v>
      </c>
      <c r="M20" s="11" t="n">
        <v>2.7</v>
      </c>
      <c r="N20" s="12" t="n">
        <f aca="false">LN(K20)</f>
        <v>0.182321556793955</v>
      </c>
      <c r="O20" s="12" t="n">
        <f aca="false">(LN(M20)-LN(L20))/(2*1.959964)</f>
        <v>0.38370026101915</v>
      </c>
      <c r="P20" s="12" t="n">
        <f aca="false">IF(O20&gt;0,1/O20^2,0)</f>
        <v>6.79228359849242</v>
      </c>
      <c r="Q20" s="13" t="n">
        <v>1</v>
      </c>
      <c r="R20" s="13" t="n">
        <v>1</v>
      </c>
      <c r="S20" s="12" t="n">
        <f aca="false">IF(Q20=1,1/(O20^2+$Z$22),0)</f>
        <v>6.79228359849242</v>
      </c>
      <c r="T20" s="12" t="n">
        <f aca="false">IF(R20=1,1/(O20^2+$Z$23),0)</f>
        <v>6.79228359849242</v>
      </c>
      <c r="U20" s="14" t="s">
        <v>108</v>
      </c>
    </row>
    <row r="21" customFormat="false" ht="15" hidden="false" customHeight="false" outlineLevel="0" collapsed="false">
      <c r="A21" s="10" t="s">
        <v>104</v>
      </c>
      <c r="B21" s="10" t="s">
        <v>109</v>
      </c>
      <c r="C21" s="10" t="n">
        <v>2012</v>
      </c>
      <c r="D21" s="10" t="s">
        <v>55</v>
      </c>
      <c r="E21" s="10" t="s">
        <v>110</v>
      </c>
      <c r="F21" s="10" t="s">
        <v>111</v>
      </c>
      <c r="G21" s="10" t="s">
        <v>85</v>
      </c>
      <c r="H21" s="10"/>
      <c r="I21" s="10"/>
      <c r="J21" s="10" t="s">
        <v>66</v>
      </c>
      <c r="K21" s="11" t="n">
        <v>46.29</v>
      </c>
      <c r="L21" s="11" t="n">
        <v>3.16</v>
      </c>
      <c r="M21" s="11" t="n">
        <v>667.39</v>
      </c>
      <c r="N21" s="12" t="n">
        <f aca="false">LN(K21)</f>
        <v>3.83492595504318</v>
      </c>
      <c r="O21" s="12" t="n">
        <f aca="false">(LN(M21)-LN(L21))/(2*1.959964)</f>
        <v>1.36553593716213</v>
      </c>
      <c r="P21" s="12" t="n">
        <f aca="false">IF(O21&gt;0,1/O21^2,0)</f>
        <v>0.536282631626855</v>
      </c>
      <c r="Q21" s="13" t="n">
        <v>0</v>
      </c>
      <c r="R21" s="13" t="n">
        <v>0</v>
      </c>
      <c r="S21" s="12" t="n">
        <f aca="false">IF(Q21=1,1/(O21^2+$Z$22),0)</f>
        <v>0</v>
      </c>
      <c r="T21" s="12" t="n">
        <f aca="false">IF(R21=1,1/(O21^2+$Z$23),0)</f>
        <v>0</v>
      </c>
      <c r="U21" s="14" t="s">
        <v>112</v>
      </c>
    </row>
    <row r="22" customFormat="false" ht="15" hidden="false" customHeight="false" outlineLevel="0" collapsed="false">
      <c r="A22" s="15"/>
      <c r="B22" s="15" t="s">
        <v>101</v>
      </c>
      <c r="C22" s="15"/>
      <c r="D22" s="15"/>
      <c r="E22" s="15"/>
      <c r="F22" s="15"/>
      <c r="G22" s="15"/>
      <c r="H22" s="15"/>
      <c r="I22" s="15"/>
      <c r="J22" s="15" t="s">
        <v>102</v>
      </c>
      <c r="K22" s="16" t="n">
        <f aca="false">IF(V22&gt;0,EXP(AB22),"")</f>
        <v>1.05433162607575</v>
      </c>
      <c r="L22" s="16" t="n">
        <f aca="false">IF(V22&gt;0,EXP(AB22-1.959964*AC22),"")</f>
        <v>0.923909575005819</v>
      </c>
      <c r="M22" s="16" t="n">
        <f aca="false">IF(V22&gt;0,EXP(AB22+1.959964*AC22),"")</f>
        <v>1.20316447390052</v>
      </c>
      <c r="N22" s="15"/>
      <c r="O22" s="15"/>
      <c r="P22" s="15"/>
      <c r="Q22" s="15"/>
      <c r="R22" s="15"/>
      <c r="S22" s="15"/>
      <c r="T22" s="15"/>
      <c r="U22" s="15"/>
      <c r="V22" s="15" t="n">
        <f aca="false">SUM($Q$18:$Q$21)</f>
        <v>2</v>
      </c>
      <c r="W22" s="16" t="n">
        <f aca="false">IF(V22&gt;0,SUMPRODUCT($Q$18:$Q$21,$P$18:$P$21,$N$18:$N$21)/SUMPRODUCT($Q$18:$Q$21,$P$18:$P$21),0)</f>
        <v>0.0529070363772138</v>
      </c>
      <c r="X22" s="16" t="n">
        <f aca="false">IF(V22&gt;1,SUMPRODUCT($Q$18:$Q$21,$P$18:$P$21,($N$18:$N$21-W22)^2),0)</f>
        <v>0.117376781360572</v>
      </c>
      <c r="Y22" s="16" t="n">
        <f aca="false">IF(V22&gt;1,SUMPRODUCT($Q$18:$Q$21,$P$18:$P$21)-SUMPRODUCT($Q$18:$Q$21,$P$18:$P$21,$P$18:$P$21)/SUMPRODUCT($Q$18:$Q$21,$P$18:$P$21),0)</f>
        <v>13.1657448807579</v>
      </c>
      <c r="Z22" s="16" t="n">
        <f aca="false">IF(Y22&gt;0,MAX(0,(X22-(V22-1))/Y22),0)</f>
        <v>0</v>
      </c>
      <c r="AA22" s="17" t="n">
        <f aca="false">IF(AND(V22&gt;1,X22&gt;0),MAX(0,(X22-(V22-1))/X22),0)</f>
        <v>0</v>
      </c>
      <c r="AB22" s="16" t="n">
        <f aca="false">IF(SUM($S$18:$S$21)&gt;0,SUMPRODUCT($S$18:$S$21,$N$18:$N$21)/SUM($S$18:$S$21),0)</f>
        <v>0.0529070363772138</v>
      </c>
      <c r="AC22" s="16" t="n">
        <f aca="false">IF(SUM($S$18:$S$21)&gt;0,SQRT(1/SUM($S$18:$S$21)),0)</f>
        <v>0.0673727226899743</v>
      </c>
    </row>
    <row r="23" customFormat="false" ht="15" hidden="false" customHeight="false" outlineLevel="0" collapsed="false">
      <c r="A23" s="15"/>
      <c r="B23" s="15" t="s">
        <v>103</v>
      </c>
      <c r="C23" s="15"/>
      <c r="D23" s="15"/>
      <c r="E23" s="15"/>
      <c r="F23" s="15"/>
      <c r="G23" s="15"/>
      <c r="H23" s="15"/>
      <c r="I23" s="15"/>
      <c r="J23" s="15" t="s">
        <v>102</v>
      </c>
      <c r="K23" s="16" t="n">
        <f aca="false">IF(V23&gt;0,EXP(AB23),"")</f>
        <v>1.05433162607575</v>
      </c>
      <c r="L23" s="16" t="n">
        <f aca="false">IF(V23&gt;0,EXP(AB23-1.959964*AC23),"")</f>
        <v>0.923909575005819</v>
      </c>
      <c r="M23" s="16" t="n">
        <f aca="false">IF(V23&gt;0,EXP(AB23+1.959964*AC23),"")</f>
        <v>1.20316447390052</v>
      </c>
      <c r="N23" s="15"/>
      <c r="O23" s="15"/>
      <c r="P23" s="15"/>
      <c r="Q23" s="15"/>
      <c r="R23" s="15"/>
      <c r="S23" s="15"/>
      <c r="T23" s="15"/>
      <c r="U23" s="15"/>
      <c r="V23" s="15" t="n">
        <f aca="false">SUM($R$18:$R$21)</f>
        <v>2</v>
      </c>
      <c r="W23" s="16" t="n">
        <f aca="false">IF(V23&gt;0,SUMPRODUCT($R$18:$R$21,$P$18:$P$21,$N$18:$N$21)/SUMPRODUCT($R$18:$R$21,$P$18:$P$21),0)</f>
        <v>0.0529070363772138</v>
      </c>
      <c r="X23" s="16" t="n">
        <f aca="false">IF(V23&gt;1,SUMPRODUCT($R$18:$R$21,$P$18:$P$21,($N$18:$N$21-W23)^2),0)</f>
        <v>0.117376781360572</v>
      </c>
      <c r="Y23" s="16" t="n">
        <f aca="false">IF(V23&gt;1,SUMPRODUCT($R$18:$R$21,$P$18:$P$21)-SUMPRODUCT($R$18:$R$21,$P$18:$P$21,$P$18:$P$21)/SUMPRODUCT($R$18:$R$21,$P$18:$P$21),0)</f>
        <v>13.1657448807579</v>
      </c>
      <c r="Z23" s="16" t="n">
        <f aca="false">IF(Y23&gt;0,MAX(0,(X23-(V23-1))/Y23),0)</f>
        <v>0</v>
      </c>
      <c r="AA23" s="17" t="n">
        <f aca="false">IF(AND(V23&gt;1,X23&gt;0),MAX(0,(X23-(V23-1))/X23),0)</f>
        <v>0</v>
      </c>
      <c r="AB23" s="16" t="n">
        <f aca="false">IF(SUM($T$18:$T$21)&gt;0,SUMPRODUCT($T$18:$T$21,$N$18:$N$21)/SUM($T$18:$T$21),0)</f>
        <v>0.0529070363772138</v>
      </c>
      <c r="AC23" s="16" t="n">
        <f aca="false">IF(SUM($T$18:$T$21)&gt;0,SQRT(1/SUM($T$18:$T$21)),0)</f>
        <v>0.0673727226899743</v>
      </c>
    </row>
    <row r="25" customFormat="false" ht="15" hidden="false" customHeight="false" outlineLevel="0" collapsed="false">
      <c r="A25" s="8" t="s">
        <v>113</v>
      </c>
      <c r="B25" s="9"/>
      <c r="C25" s="9"/>
      <c r="D25" s="9"/>
      <c r="E25" s="9"/>
      <c r="F25" s="9"/>
      <c r="G25" s="9"/>
      <c r="H25" s="9"/>
      <c r="I25" s="9"/>
      <c r="J25" s="9"/>
      <c r="K25" s="9"/>
      <c r="L25" s="9"/>
      <c r="M25" s="9"/>
      <c r="N25" s="9"/>
      <c r="O25" s="9"/>
      <c r="P25" s="9"/>
      <c r="Q25" s="9"/>
      <c r="R25" s="9"/>
      <c r="S25" s="9"/>
      <c r="T25" s="9"/>
      <c r="U25" s="9"/>
    </row>
    <row r="26" customFormat="false" ht="15" hidden="false" customHeight="false" outlineLevel="0" collapsed="false">
      <c r="A26" s="10" t="s">
        <v>113</v>
      </c>
      <c r="B26" s="10" t="s">
        <v>114</v>
      </c>
      <c r="C26" s="10" t="n">
        <v>2010</v>
      </c>
      <c r="D26" s="10" t="s">
        <v>62</v>
      </c>
      <c r="E26" s="10" t="s">
        <v>63</v>
      </c>
      <c r="F26" s="10" t="s">
        <v>64</v>
      </c>
      <c r="G26" s="10" t="s">
        <v>115</v>
      </c>
      <c r="H26" s="10" t="n">
        <v>1.68</v>
      </c>
      <c r="I26" s="10" t="n">
        <v>1.68</v>
      </c>
      <c r="J26" s="10" t="s">
        <v>66</v>
      </c>
      <c r="K26" s="11" t="n">
        <v>1.15</v>
      </c>
      <c r="L26" s="11" t="n">
        <v>1.01</v>
      </c>
      <c r="M26" s="11" t="n">
        <v>1.32</v>
      </c>
      <c r="N26" s="12" t="n">
        <f aca="false">LN(K26)</f>
        <v>0.139761942375159</v>
      </c>
      <c r="O26" s="12" t="n">
        <f aca="false">(LN(M26)-LN(L26))/(2*1.959964)</f>
        <v>0.0682873271511904</v>
      </c>
      <c r="P26" s="12" t="n">
        <f aca="false">IF(O26&gt;0,1/O26^2,0)</f>
        <v>214.446899493413</v>
      </c>
      <c r="Q26" s="13" t="n">
        <v>1</v>
      </c>
      <c r="R26" s="13" t="n">
        <v>1</v>
      </c>
      <c r="S26" s="12" t="n">
        <f aca="false">IF(Q26=1,1/(O26^2+$Z$41),0)</f>
        <v>96.3559558572588</v>
      </c>
      <c r="T26" s="12" t="n">
        <f aca="false">IF(R26=1,1/(O26^2+$Z$42),0)</f>
        <v>75.4142238750724</v>
      </c>
      <c r="U26" s="14" t="s">
        <v>116</v>
      </c>
    </row>
    <row r="27" customFormat="false" ht="15" hidden="false" customHeight="false" outlineLevel="0" collapsed="false">
      <c r="A27" s="10" t="s">
        <v>113</v>
      </c>
      <c r="B27" s="10" t="s">
        <v>61</v>
      </c>
      <c r="C27" s="10" t="n">
        <v>2010</v>
      </c>
      <c r="D27" s="10" t="s">
        <v>62</v>
      </c>
      <c r="E27" s="10" t="s">
        <v>63</v>
      </c>
      <c r="F27" s="10" t="s">
        <v>64</v>
      </c>
      <c r="G27" s="10" t="s">
        <v>117</v>
      </c>
      <c r="H27" s="10" t="n">
        <v>1.67</v>
      </c>
      <c r="I27" s="10" t="n">
        <v>2.67</v>
      </c>
      <c r="J27" s="10" t="s">
        <v>66</v>
      </c>
      <c r="K27" s="11" t="n">
        <v>1.16</v>
      </c>
      <c r="L27" s="11" t="n">
        <v>1.04</v>
      </c>
      <c r="M27" s="11" t="n">
        <v>1.3</v>
      </c>
      <c r="N27" s="12" t="n">
        <f aca="false">LN(K27)</f>
        <v>0.148420005118273</v>
      </c>
      <c r="O27" s="12" t="n">
        <f aca="false">(LN(M27)-LN(L27))/(2*1.959964)</f>
        <v>0.056925420904213</v>
      </c>
      <c r="P27" s="12" t="n">
        <f aca="false">IF(O27&gt;0,1/O27^2,0)</f>
        <v>308.594015120083</v>
      </c>
      <c r="Q27" s="13" t="n">
        <v>1</v>
      </c>
      <c r="R27" s="13" t="n">
        <v>1</v>
      </c>
      <c r="S27" s="12" t="n">
        <f aca="false">IF(Q27=1,1/(O27^2+$Z$41),0)</f>
        <v>111.662847631034</v>
      </c>
      <c r="T27" s="12" t="n">
        <f aca="false">IF(R27=1,1/(O27^2+$Z$42),0)</f>
        <v>84.477707025355</v>
      </c>
      <c r="U27" s="14" t="s">
        <v>118</v>
      </c>
    </row>
    <row r="28" customFormat="false" ht="15" hidden="false" customHeight="false" outlineLevel="0" collapsed="false">
      <c r="A28" s="10" t="s">
        <v>113</v>
      </c>
      <c r="B28" s="10" t="s">
        <v>61</v>
      </c>
      <c r="C28" s="10" t="n">
        <v>2011</v>
      </c>
      <c r="D28" s="10" t="s">
        <v>62</v>
      </c>
      <c r="E28" s="10" t="s">
        <v>63</v>
      </c>
      <c r="F28" s="10" t="s">
        <v>64</v>
      </c>
      <c r="G28" s="10" t="s">
        <v>119</v>
      </c>
      <c r="H28" s="10" t="n">
        <v>1.68</v>
      </c>
      <c r="I28" s="10" t="n">
        <v>2.65</v>
      </c>
      <c r="J28" s="10" t="s">
        <v>66</v>
      </c>
      <c r="K28" s="11" t="n">
        <v>1.16</v>
      </c>
      <c r="L28" s="11" t="n">
        <v>1.04</v>
      </c>
      <c r="M28" s="11" t="n">
        <v>1.3</v>
      </c>
      <c r="N28" s="12" t="n">
        <f aca="false">LN(K28)</f>
        <v>0.148420005118273</v>
      </c>
      <c r="O28" s="12" t="n">
        <f aca="false">(LN(M28)-LN(L28))/(2*1.959964)</f>
        <v>0.056925420904213</v>
      </c>
      <c r="P28" s="12" t="n">
        <f aca="false">IF(O28&gt;0,1/O28^2,0)</f>
        <v>308.594015120083</v>
      </c>
      <c r="Q28" s="13" t="n">
        <v>1</v>
      </c>
      <c r="R28" s="13" t="n">
        <v>0</v>
      </c>
      <c r="S28" s="12" t="n">
        <f aca="false">IF(Q28=1,1/(O28^2+$Z$41),0)</f>
        <v>111.662847631034</v>
      </c>
      <c r="T28" s="12" t="n">
        <f aca="false">IF(R28=1,1/(O28^2+$Z$42),0)</f>
        <v>0</v>
      </c>
      <c r="U28" s="14" t="s">
        <v>120</v>
      </c>
    </row>
    <row r="29" customFormat="false" ht="15" hidden="false" customHeight="false" outlineLevel="0" collapsed="false">
      <c r="A29" s="10" t="s">
        <v>113</v>
      </c>
      <c r="B29" s="10" t="s">
        <v>121</v>
      </c>
      <c r="C29" s="10" t="n">
        <v>2003</v>
      </c>
      <c r="D29" s="10" t="s">
        <v>62</v>
      </c>
      <c r="E29" s="10" t="s">
        <v>122</v>
      </c>
      <c r="F29" s="10" t="s">
        <v>57</v>
      </c>
      <c r="G29" s="10" t="s">
        <v>123</v>
      </c>
      <c r="H29" s="10" t="n">
        <v>4.42</v>
      </c>
      <c r="I29" s="10" t="n">
        <v>22.11</v>
      </c>
      <c r="J29" s="10" t="s">
        <v>66</v>
      </c>
      <c r="K29" s="11" t="n">
        <v>1.2</v>
      </c>
      <c r="L29" s="11" t="n">
        <v>0.8</v>
      </c>
      <c r="M29" s="11" t="n">
        <v>1.7</v>
      </c>
      <c r="N29" s="12" t="n">
        <f aca="false">LN(K29)</f>
        <v>0.182321556793955</v>
      </c>
      <c r="O29" s="12" t="n">
        <f aca="false">(LN(M29)-LN(L29))/(2*1.959964)</f>
        <v>0.192292256994613</v>
      </c>
      <c r="P29" s="12" t="n">
        <f aca="false">IF(O29&gt;0,1/O29^2,0)</f>
        <v>27.0443411796541</v>
      </c>
      <c r="Q29" s="13" t="n">
        <v>1</v>
      </c>
      <c r="R29" s="13" t="n">
        <v>1</v>
      </c>
      <c r="S29" s="12" t="n">
        <f aca="false">IF(Q29=1,1/(O29^2+$Z$41),0)</f>
        <v>23.4239550700476</v>
      </c>
      <c r="T29" s="12" t="n">
        <f aca="false">IF(R29=1,1/(O29^2+$Z$42),0)</f>
        <v>21.9426961365939</v>
      </c>
      <c r="U29" s="14" t="s">
        <v>124</v>
      </c>
    </row>
    <row r="30" customFormat="false" ht="15" hidden="false" customHeight="false" outlineLevel="0" collapsed="false">
      <c r="A30" s="10" t="s">
        <v>113</v>
      </c>
      <c r="B30" s="10" t="s">
        <v>125</v>
      </c>
      <c r="C30" s="10" t="n">
        <v>2016</v>
      </c>
      <c r="D30" s="10" t="s">
        <v>62</v>
      </c>
      <c r="E30" s="10" t="s">
        <v>126</v>
      </c>
      <c r="F30" s="10" t="s">
        <v>64</v>
      </c>
      <c r="G30" s="10" t="s">
        <v>127</v>
      </c>
      <c r="H30" s="10" t="n">
        <v>5</v>
      </c>
      <c r="I30" s="10" t="n">
        <v>10</v>
      </c>
      <c r="J30" s="10" t="s">
        <v>66</v>
      </c>
      <c r="K30" s="11" t="n">
        <v>1.52</v>
      </c>
      <c r="L30" s="11" t="n">
        <v>1.24</v>
      </c>
      <c r="M30" s="11" t="n">
        <v>1.86</v>
      </c>
      <c r="N30" s="12" t="n">
        <f aca="false">LN(K30)</f>
        <v>0.418710334858185</v>
      </c>
      <c r="O30" s="12" t="n">
        <f aca="false">(LN(M30)-LN(L30))/(2*1.959964)</f>
        <v>0.103436876419201</v>
      </c>
      <c r="P30" s="12" t="n">
        <f aca="false">IF(O30&gt;0,1/O30^2,0)</f>
        <v>93.4650419980366</v>
      </c>
      <c r="Q30" s="13" t="n">
        <v>1</v>
      </c>
      <c r="R30" s="13" t="n">
        <v>1</v>
      </c>
      <c r="S30" s="12" t="n">
        <f aca="false">IF(Q30=1,1/(O30^2+$Z$41),0)</f>
        <v>60.9228074357539</v>
      </c>
      <c r="T30" s="12" t="n">
        <f aca="false">IF(R30=1,1/(O30^2+$Z$42),0)</f>
        <v>51.8238728900232</v>
      </c>
      <c r="U30" s="14" t="s">
        <v>128</v>
      </c>
    </row>
    <row r="31" customFormat="false" ht="15" hidden="false" customHeight="false" outlineLevel="0" collapsed="false">
      <c r="A31" s="10" t="s">
        <v>113</v>
      </c>
      <c r="B31" s="10" t="s">
        <v>129</v>
      </c>
      <c r="C31" s="10" t="n">
        <v>2017</v>
      </c>
      <c r="D31" s="10" t="s">
        <v>62</v>
      </c>
      <c r="E31" s="10" t="s">
        <v>130</v>
      </c>
      <c r="F31" s="10" t="s">
        <v>131</v>
      </c>
      <c r="G31" s="10" t="s">
        <v>132</v>
      </c>
      <c r="H31" s="10" t="n">
        <v>50</v>
      </c>
      <c r="I31" s="10" t="n">
        <v>50</v>
      </c>
      <c r="J31" s="10" t="s">
        <v>66</v>
      </c>
      <c r="K31" s="11" t="n">
        <v>2.82</v>
      </c>
      <c r="L31" s="11" t="n">
        <v>1.075</v>
      </c>
      <c r="M31" s="11" t="n">
        <v>7.395</v>
      </c>
      <c r="N31" s="12" t="n">
        <f aca="false">LN(K31)</f>
        <v>1.03673688495002</v>
      </c>
      <c r="O31" s="12" t="n">
        <f aca="false">(LN(M31)-LN(L31))/(2*1.959964)</f>
        <v>0.491969096009707</v>
      </c>
      <c r="P31" s="12" t="n">
        <f aca="false">IF(O31&gt;0,1/O31^2,0)</f>
        <v>4.13165789962245</v>
      </c>
      <c r="Q31" s="13" t="n">
        <v>1</v>
      </c>
      <c r="R31" s="13" t="n">
        <v>1</v>
      </c>
      <c r="S31" s="12" t="n">
        <f aca="false">IF(Q31=1,1/(O31^2+$Z$41),0)</f>
        <v>4.03634945731175</v>
      </c>
      <c r="T31" s="12" t="n">
        <f aca="false">IF(R31=1,1/(O31^2+$Z$42),0)</f>
        <v>3.98993689413527</v>
      </c>
      <c r="U31" s="14" t="s">
        <v>133</v>
      </c>
    </row>
    <row r="32" customFormat="false" ht="15" hidden="false" customHeight="false" outlineLevel="0" collapsed="false">
      <c r="A32" s="10" t="s">
        <v>113</v>
      </c>
      <c r="B32" s="10" t="s">
        <v>68</v>
      </c>
      <c r="C32" s="10" t="n">
        <v>2002</v>
      </c>
      <c r="D32" s="10" t="s">
        <v>55</v>
      </c>
      <c r="E32" s="10" t="s">
        <v>69</v>
      </c>
      <c r="F32" s="10" t="s">
        <v>64</v>
      </c>
      <c r="G32" s="10" t="s">
        <v>70</v>
      </c>
      <c r="H32" s="10" t="n">
        <v>10</v>
      </c>
      <c r="I32" s="10" t="n">
        <v>20</v>
      </c>
      <c r="J32" s="10" t="s">
        <v>71</v>
      </c>
      <c r="K32" s="11" t="n">
        <v>1.18</v>
      </c>
      <c r="L32" s="11" t="n">
        <v>1.04</v>
      </c>
      <c r="M32" s="11" t="n">
        <v>1.34</v>
      </c>
      <c r="N32" s="12" t="n">
        <f aca="false">LN(K32)</f>
        <v>0.165514438477573</v>
      </c>
      <c r="O32" s="12" t="n">
        <f aca="false">(LN(M32)-LN(L32))/(2*1.959964)</f>
        <v>0.0646565194078919</v>
      </c>
      <c r="P32" s="12" t="n">
        <f aca="false">IF(O32&gt;0,1/O32^2,0)</f>
        <v>239.207810597934</v>
      </c>
      <c r="Q32" s="13" t="n">
        <v>0</v>
      </c>
      <c r="R32" s="13" t="n">
        <v>0</v>
      </c>
      <c r="S32" s="12" t="n">
        <f aca="false">IF(Q32=1,1/(O32^2+$Z$41),0)</f>
        <v>0</v>
      </c>
      <c r="T32" s="12" t="n">
        <f aca="false">IF(R32=1,1/(O32^2+$Z$42),0)</f>
        <v>0</v>
      </c>
      <c r="U32" s="14" t="s">
        <v>72</v>
      </c>
    </row>
    <row r="33" customFormat="false" ht="15" hidden="false" customHeight="false" outlineLevel="0" collapsed="false">
      <c r="A33" s="10" t="s">
        <v>113</v>
      </c>
      <c r="B33" s="10" t="s">
        <v>134</v>
      </c>
      <c r="C33" s="10" t="n">
        <v>2019</v>
      </c>
      <c r="D33" s="10" t="s">
        <v>88</v>
      </c>
      <c r="E33" s="10" t="s">
        <v>122</v>
      </c>
      <c r="F33" s="10" t="s">
        <v>57</v>
      </c>
      <c r="G33" s="10" t="s">
        <v>135</v>
      </c>
      <c r="H33" s="10" t="n">
        <v>1.59</v>
      </c>
      <c r="I33" s="10" t="n">
        <v>15.52</v>
      </c>
      <c r="J33" s="10" t="s">
        <v>136</v>
      </c>
      <c r="K33" s="11" t="n">
        <v>0.97</v>
      </c>
      <c r="L33" s="11" t="n">
        <v>0.75</v>
      </c>
      <c r="M33" s="11" t="n">
        <v>1.26</v>
      </c>
      <c r="N33" s="12" t="n">
        <f aca="false">LN(K33)</f>
        <v>-0.0304592074847086</v>
      </c>
      <c r="O33" s="12" t="n">
        <f aca="false">(LN(M33)-LN(L33))/(2*1.959964)</f>
        <v>0.132347786340761</v>
      </c>
      <c r="P33" s="12" t="n">
        <f aca="false">IF(O33&gt;0,1/O33^2,0)</f>
        <v>57.0908667764029</v>
      </c>
      <c r="Q33" s="13" t="n">
        <v>1</v>
      </c>
      <c r="R33" s="13" t="n">
        <v>1</v>
      </c>
      <c r="S33" s="12" t="n">
        <f aca="false">IF(Q33=1,1/(O33^2+$Z$41),0)</f>
        <v>43.0459982576472</v>
      </c>
      <c r="T33" s="12" t="n">
        <f aca="false">IF(R33=1,1/(O33^2+$Z$42),0)</f>
        <v>38.2952846226444</v>
      </c>
      <c r="U33" s="14" t="s">
        <v>137</v>
      </c>
    </row>
    <row r="34" customFormat="false" ht="15" hidden="false" customHeight="false" outlineLevel="0" collapsed="false">
      <c r="A34" s="10" t="s">
        <v>113</v>
      </c>
      <c r="B34" s="10" t="s">
        <v>138</v>
      </c>
      <c r="C34" s="10" t="n">
        <v>2007</v>
      </c>
      <c r="D34" s="10" t="s">
        <v>62</v>
      </c>
      <c r="E34" s="10" t="s">
        <v>63</v>
      </c>
      <c r="F34" s="10" t="s">
        <v>64</v>
      </c>
      <c r="G34" s="10" t="s">
        <v>139</v>
      </c>
      <c r="H34" s="10" t="n">
        <v>0.49</v>
      </c>
      <c r="I34" s="10" t="n">
        <v>7.36</v>
      </c>
      <c r="J34" s="10" t="s">
        <v>66</v>
      </c>
      <c r="K34" s="11" t="n">
        <v>1.36</v>
      </c>
      <c r="L34" s="11" t="n">
        <v>1.08</v>
      </c>
      <c r="M34" s="11" t="n">
        <v>1.7</v>
      </c>
      <c r="N34" s="12" t="n">
        <f aca="false">LN(K34)</f>
        <v>0.307484699747961</v>
      </c>
      <c r="O34" s="12" t="n">
        <f aca="false">(LN(M34)-LN(L34))/(2*1.959964)</f>
        <v>0.115733556821973</v>
      </c>
      <c r="P34" s="12" t="n">
        <f aca="false">IF(O34&gt;0,1/O34^2,0)</f>
        <v>74.6588677235768</v>
      </c>
      <c r="Q34" s="13" t="n">
        <v>1</v>
      </c>
      <c r="R34" s="13" t="n">
        <v>1</v>
      </c>
      <c r="S34" s="12" t="n">
        <f aca="false">IF(Q34=1,1/(O34^2+$Z$41),0)</f>
        <v>52.3305877503619</v>
      </c>
      <c r="T34" s="12" t="n">
        <f aca="false">IF(R34=1,1/(O34^2+$Z$42),0)</f>
        <v>45.4727446057525</v>
      </c>
      <c r="U34" s="14" t="s">
        <v>116</v>
      </c>
    </row>
    <row r="35" customFormat="false" ht="15" hidden="false" customHeight="false" outlineLevel="0" collapsed="false">
      <c r="A35" s="10" t="s">
        <v>113</v>
      </c>
      <c r="B35" s="10" t="s">
        <v>140</v>
      </c>
      <c r="C35" s="10" t="n">
        <v>2008</v>
      </c>
      <c r="D35" s="10" t="s">
        <v>62</v>
      </c>
      <c r="E35" s="10" t="s">
        <v>79</v>
      </c>
      <c r="F35" s="10" t="s">
        <v>141</v>
      </c>
      <c r="G35" s="10" t="s">
        <v>142</v>
      </c>
      <c r="H35" s="10" t="n">
        <v>2.21</v>
      </c>
      <c r="I35" s="10" t="n">
        <v>44.23</v>
      </c>
      <c r="J35" s="10" t="s">
        <v>66</v>
      </c>
      <c r="K35" s="11" t="n">
        <v>1.57</v>
      </c>
      <c r="L35" s="11" t="n">
        <v>0.97</v>
      </c>
      <c r="M35" s="11" t="n">
        <v>2.52</v>
      </c>
      <c r="N35" s="12" t="n">
        <f aca="false">LN(K35)</f>
        <v>0.451075619360217</v>
      </c>
      <c r="O35" s="12" t="n">
        <f aca="false">(LN(M35)-LN(L35))/(2*1.959964)</f>
        <v>0.24355501147165</v>
      </c>
      <c r="P35" s="12" t="n">
        <f aca="false">IF(O35&gt;0,1/O35^2,0)</f>
        <v>16.8579926292271</v>
      </c>
      <c r="Q35" s="13" t="n">
        <v>1</v>
      </c>
      <c r="R35" s="13" t="n">
        <v>1</v>
      </c>
      <c r="S35" s="12" t="n">
        <f aca="false">IF(Q35=1,1/(O35^2+$Z$41),0)</f>
        <v>15.3765556493225</v>
      </c>
      <c r="T35" s="12" t="n">
        <f aca="false">IF(R35=1,1/(O35^2+$Z$42),0)</f>
        <v>14.7240746889643</v>
      </c>
      <c r="U35" s="14" t="s">
        <v>143</v>
      </c>
    </row>
    <row r="36" customFormat="false" ht="15" hidden="false" customHeight="false" outlineLevel="0" collapsed="false">
      <c r="A36" s="10" t="s">
        <v>113</v>
      </c>
      <c r="B36" s="10" t="s">
        <v>73</v>
      </c>
      <c r="C36" s="10" t="n">
        <v>1995</v>
      </c>
      <c r="D36" s="10" t="s">
        <v>74</v>
      </c>
      <c r="E36" s="10" t="s">
        <v>75</v>
      </c>
      <c r="F36" s="10" t="s">
        <v>57</v>
      </c>
      <c r="G36" s="10" t="s">
        <v>144</v>
      </c>
      <c r="H36" s="10" t="n">
        <v>25</v>
      </c>
      <c r="I36" s="10" t="n">
        <v>50</v>
      </c>
      <c r="J36" s="10" t="s">
        <v>59</v>
      </c>
      <c r="K36" s="11" t="n">
        <v>1.15</v>
      </c>
      <c r="L36" s="11" t="n">
        <v>0.57</v>
      </c>
      <c r="M36" s="11" t="n">
        <v>2.31</v>
      </c>
      <c r="N36" s="12" t="n">
        <f aca="false">LN(K36)</f>
        <v>0.139761942375159</v>
      </c>
      <c r="O36" s="12" t="n">
        <f aca="false">(LN(M36)-LN(L36))/(2*1.959964)</f>
        <v>0.356987792298033</v>
      </c>
      <c r="P36" s="12" t="n">
        <f aca="false">IF(O36&gt;0,1/O36^2,0)</f>
        <v>7.84681240335597</v>
      </c>
      <c r="Q36" s="13" t="n">
        <v>0</v>
      </c>
      <c r="R36" s="13" t="n">
        <v>0</v>
      </c>
      <c r="S36" s="12" t="n">
        <f aca="false">IF(Q36=1,1/(O36^2+$Z$41),0)</f>
        <v>0</v>
      </c>
      <c r="T36" s="12" t="n">
        <f aca="false">IF(R36=1,1/(O36^2+$Z$42),0)</f>
        <v>0</v>
      </c>
      <c r="U36" s="14" t="s">
        <v>145</v>
      </c>
    </row>
    <row r="37" customFormat="false" ht="15" hidden="false" customHeight="false" outlineLevel="0" collapsed="false">
      <c r="A37" s="10" t="s">
        <v>113</v>
      </c>
      <c r="B37" s="10" t="s">
        <v>146</v>
      </c>
      <c r="C37" s="10" t="n">
        <v>1991</v>
      </c>
      <c r="D37" s="10" t="s">
        <v>74</v>
      </c>
      <c r="E37" s="10" t="s">
        <v>147</v>
      </c>
      <c r="F37" s="10" t="s">
        <v>64</v>
      </c>
      <c r="G37" s="10" t="s">
        <v>148</v>
      </c>
      <c r="H37" s="10" t="n">
        <v>45</v>
      </c>
      <c r="I37" s="10" t="n">
        <v>45</v>
      </c>
      <c r="J37" s="10" t="s">
        <v>59</v>
      </c>
      <c r="K37" s="11" t="n">
        <v>0.94</v>
      </c>
      <c r="L37" s="11" t="n">
        <v>0.87</v>
      </c>
      <c r="M37" s="11" t="n">
        <v>1.02</v>
      </c>
      <c r="N37" s="12" t="n">
        <f aca="false">LN(K37)</f>
        <v>-0.0618754037180875</v>
      </c>
      <c r="O37" s="12" t="n">
        <f aca="false">(LN(M37)-LN(L37))/(2*1.959964)</f>
        <v>0.0405784735407608</v>
      </c>
      <c r="P37" s="12" t="n">
        <f aca="false">IF(O37&gt;0,1/O37^2,0)</f>
        <v>607.307421115896</v>
      </c>
      <c r="Q37" s="13" t="n">
        <v>0</v>
      </c>
      <c r="R37" s="13" t="n">
        <v>0</v>
      </c>
      <c r="S37" s="12" t="n">
        <f aca="false">IF(Q37=1,1/(O37^2+$Z$41),0)</f>
        <v>0</v>
      </c>
      <c r="T37" s="12" t="n">
        <f aca="false">IF(R37=1,1/(O37^2+$Z$42),0)</f>
        <v>0</v>
      </c>
      <c r="U37" s="14" t="s">
        <v>149</v>
      </c>
    </row>
    <row r="38" customFormat="false" ht="15" hidden="false" customHeight="false" outlineLevel="0" collapsed="false">
      <c r="A38" s="10" t="s">
        <v>113</v>
      </c>
      <c r="B38" s="10" t="s">
        <v>150</v>
      </c>
      <c r="C38" s="10" t="n">
        <v>2018</v>
      </c>
      <c r="D38" s="10" t="s">
        <v>88</v>
      </c>
      <c r="E38" s="10" t="s">
        <v>151</v>
      </c>
      <c r="F38" s="10" t="s">
        <v>57</v>
      </c>
      <c r="G38" s="10" t="s">
        <v>152</v>
      </c>
      <c r="H38" s="10" t="n">
        <v>0.69</v>
      </c>
      <c r="I38" s="10" t="n">
        <v>16.75</v>
      </c>
      <c r="J38" s="10" t="s">
        <v>136</v>
      </c>
      <c r="K38" s="11" t="n">
        <v>1.14</v>
      </c>
      <c r="L38" s="11" t="n">
        <v>1.06</v>
      </c>
      <c r="M38" s="11" t="n">
        <v>1.23</v>
      </c>
      <c r="N38" s="12" t="n">
        <f aca="false">LN(K38)</f>
        <v>0.131028262406404</v>
      </c>
      <c r="O38" s="12" t="n">
        <f aca="false">(LN(M38)-LN(L38))/(2*1.959964)</f>
        <v>0.0379459166750895</v>
      </c>
      <c r="P38" s="12" t="n">
        <f aca="false">IF(O38&gt;0,1/O38^2,0)</f>
        <v>694.496245996893</v>
      </c>
      <c r="Q38" s="13" t="n">
        <v>1</v>
      </c>
      <c r="R38" s="13" t="n">
        <v>1</v>
      </c>
      <c r="S38" s="12" t="n">
        <f aca="false">IF(Q38=1,1/(O38^2+$Z$41),0)</f>
        <v>139.76398204937</v>
      </c>
      <c r="T38" s="12" t="n">
        <f aca="false">IF(R38=1,1/(O38^2+$Z$42),0)</f>
        <v>99.6330360475854</v>
      </c>
      <c r="U38" s="14" t="s">
        <v>153</v>
      </c>
    </row>
    <row r="39" customFormat="false" ht="15" hidden="false" customHeight="false" outlineLevel="0" collapsed="false">
      <c r="A39" s="10" t="s">
        <v>113</v>
      </c>
      <c r="B39" s="10" t="s">
        <v>154</v>
      </c>
      <c r="C39" s="10" t="n">
        <v>2001</v>
      </c>
      <c r="D39" s="10" t="s">
        <v>88</v>
      </c>
      <c r="E39" s="10" t="s">
        <v>122</v>
      </c>
      <c r="F39" s="10" t="s">
        <v>57</v>
      </c>
      <c r="G39" s="10" t="s">
        <v>155</v>
      </c>
      <c r="H39" s="10" t="n">
        <v>1.59</v>
      </c>
      <c r="I39" s="10" t="n">
        <v>10.88</v>
      </c>
      <c r="J39" s="10" t="s">
        <v>59</v>
      </c>
      <c r="K39" s="11" t="n">
        <v>1.01</v>
      </c>
      <c r="L39" s="11" t="n">
        <v>0.7</v>
      </c>
      <c r="M39" s="11" t="n">
        <v>1.48</v>
      </c>
      <c r="N39" s="12" t="n">
        <f aca="false">LN(K39)</f>
        <v>0.00995033085316809</v>
      </c>
      <c r="O39" s="12" t="n">
        <f aca="false">(LN(M39)-LN(L39))/(2*1.959964)</f>
        <v>0.19100275099817</v>
      </c>
      <c r="P39" s="12" t="n">
        <f aca="false">IF(O39&gt;0,1/O39^2,0)</f>
        <v>27.4107396825409</v>
      </c>
      <c r="Q39" s="13" t="n">
        <v>1</v>
      </c>
      <c r="R39" s="13" t="n">
        <v>0</v>
      </c>
      <c r="S39" s="12" t="n">
        <f aca="false">IF(Q39=1,1/(O39^2+$Z$41),0)</f>
        <v>23.698323654047</v>
      </c>
      <c r="T39" s="12" t="n">
        <f aca="false">IF(R39=1,1/(O39^2+$Z$42),0)</f>
        <v>0</v>
      </c>
      <c r="U39" s="14" t="s">
        <v>156</v>
      </c>
    </row>
    <row r="40" customFormat="false" ht="15" hidden="false" customHeight="false" outlineLevel="0" collapsed="false">
      <c r="A40" s="10" t="s">
        <v>113</v>
      </c>
      <c r="B40" s="10" t="s">
        <v>97</v>
      </c>
      <c r="C40" s="10" t="n">
        <v>2007</v>
      </c>
      <c r="D40" s="10" t="s">
        <v>62</v>
      </c>
      <c r="E40" s="10" t="s">
        <v>63</v>
      </c>
      <c r="F40" s="10" t="s">
        <v>64</v>
      </c>
      <c r="G40" s="10" t="s">
        <v>157</v>
      </c>
      <c r="H40" s="10" t="n">
        <v>0.97</v>
      </c>
      <c r="I40" s="10" t="n">
        <v>2.12</v>
      </c>
      <c r="J40" s="10" t="s">
        <v>66</v>
      </c>
      <c r="K40" s="11" t="n">
        <v>0.98</v>
      </c>
      <c r="L40" s="11" t="n">
        <v>0.83</v>
      </c>
      <c r="M40" s="11" t="n">
        <v>1.16</v>
      </c>
      <c r="N40" s="12" t="n">
        <f aca="false">LN(K40)</f>
        <v>-0.0202027073175195</v>
      </c>
      <c r="O40" s="12" t="n">
        <f aca="false">(LN(M40)-LN(L40))/(2*1.959964)</f>
        <v>0.0853968703786821</v>
      </c>
      <c r="P40" s="12" t="n">
        <f aca="false">IF(O40&gt;0,1/O40^2,0)</f>
        <v>137.124826175268</v>
      </c>
      <c r="Q40" s="13" t="n">
        <v>1</v>
      </c>
      <c r="R40" s="13" t="n">
        <v>1</v>
      </c>
      <c r="S40" s="12" t="n">
        <f aca="false">IF(Q40=1,1/(O40^2+$Z$41),0)</f>
        <v>76.8778249325495</v>
      </c>
      <c r="T40" s="12" t="n">
        <f aca="false">IF(R40=1,1/(O40^2+$Z$42),0)</f>
        <v>62.9343871749349</v>
      </c>
      <c r="U40" s="14" t="s">
        <v>158</v>
      </c>
    </row>
    <row r="41" customFormat="false" ht="15" hidden="false" customHeight="false" outlineLevel="0" collapsed="false">
      <c r="A41" s="15"/>
      <c r="B41" s="15" t="s">
        <v>101</v>
      </c>
      <c r="C41" s="15"/>
      <c r="D41" s="15"/>
      <c r="E41" s="15"/>
      <c r="F41" s="15"/>
      <c r="G41" s="15"/>
      <c r="H41" s="15"/>
      <c r="I41" s="15"/>
      <c r="J41" s="15" t="s">
        <v>102</v>
      </c>
      <c r="K41" s="16" t="n">
        <f aca="false">IF(V41&gt;0,EXP(AB41),"")</f>
        <v>1.17015099528112</v>
      </c>
      <c r="L41" s="16" t="n">
        <f aca="false">IF(V41&gt;0,EXP(AB41-1.959964*AC41),"")</f>
        <v>1.08980416551755</v>
      </c>
      <c r="M41" s="16" t="n">
        <f aca="false">IF(V41&gt;0,EXP(AB41+1.959964*AC41),"")</f>
        <v>1.256421470097</v>
      </c>
      <c r="N41" s="15"/>
      <c r="O41" s="15"/>
      <c r="P41" s="15"/>
      <c r="Q41" s="15"/>
      <c r="R41" s="15"/>
      <c r="S41" s="15"/>
      <c r="T41" s="15"/>
      <c r="U41" s="15"/>
      <c r="V41" s="15" t="n">
        <f aca="false">SUM($Q$26:$Q$40)</f>
        <v>12</v>
      </c>
      <c r="W41" s="16" t="n">
        <f aca="false">IF(V41&gt;0,SUMPRODUCT($Q$26:$Q$40,$P$26:$P$40,$N$26:$N$40)/SUMPRODUCT($Q$26:$Q$40,$P$26:$P$40),0)</f>
        <v>0.14626209118423</v>
      </c>
      <c r="X41" s="16" t="n">
        <f aca="false">IF(V41&gt;1,SUMPRODUCT($Q$26:$Q$40,$P$26:$P$40,($N$26:$N$40-W41)^2),0)</f>
        <v>20.0211526476953</v>
      </c>
      <c r="Y41" s="16" t="n">
        <f aca="false">IF(V41&gt;1,SUMPRODUCT($Q$26:$Q$40,$P$26:$P$40)-SUMPRODUCT($Q$26:$Q$40,$P$26:$P$40,$P$26:$P$40)/SUMPRODUCT($Q$26:$Q$40,$P$26:$P$40),0)</f>
        <v>1578.49704848753</v>
      </c>
      <c r="Z41" s="16" t="n">
        <f aca="false">IF(Y41&gt;0,MAX(0,(X41-(V41-1))/Y41),0)</f>
        <v>0.00571502661746444</v>
      </c>
      <c r="AA41" s="17" t="n">
        <f aca="false">IF(AND(V41&gt;1,X41&gt;0),MAX(0,(X41-(V41-1))/X41),0)</f>
        <v>0.450581083239168</v>
      </c>
      <c r="AB41" s="16" t="n">
        <f aca="false">IF(SUM($S$26:$S$40)&gt;0,SUMPRODUCT($S$26:$S$40,$N$26:$N$40)/SUM($S$26:$S$40),0)</f>
        <v>0.157132796278511</v>
      </c>
      <c r="AC41" s="16" t="n">
        <f aca="false">IF(SUM($S$26:$S$40)&gt;0,SQRT(1/SUM($S$26:$S$40)),0)</f>
        <v>0.0362939221546338</v>
      </c>
    </row>
    <row r="42" customFormat="false" ht="15" hidden="false" customHeight="false" outlineLevel="0" collapsed="false">
      <c r="A42" s="15"/>
      <c r="B42" s="15" t="s">
        <v>103</v>
      </c>
      <c r="C42" s="15"/>
      <c r="D42" s="15"/>
      <c r="E42" s="15"/>
      <c r="F42" s="15"/>
      <c r="G42" s="15"/>
      <c r="H42" s="15"/>
      <c r="I42" s="15"/>
      <c r="J42" s="15" t="s">
        <v>102</v>
      </c>
      <c r="K42" s="16" t="n">
        <f aca="false">IF(V42&gt;0,EXP(AB42),"")</f>
        <v>1.18382006901875</v>
      </c>
      <c r="L42" s="16" t="n">
        <f aca="false">IF(V42&gt;0,EXP(AB42-1.959964*AC42),"")</f>
        <v>1.08435011111096</v>
      </c>
      <c r="M42" s="16" t="n">
        <f aca="false">IF(V42&gt;0,EXP(AB42+1.959964*AC42),"")</f>
        <v>1.29241463753413</v>
      </c>
      <c r="N42" s="15"/>
      <c r="O42" s="15"/>
      <c r="P42" s="15"/>
      <c r="Q42" s="15"/>
      <c r="R42" s="15"/>
      <c r="S42" s="15"/>
      <c r="T42" s="15"/>
      <c r="U42" s="15"/>
      <c r="V42" s="15" t="n">
        <f aca="false">SUM($R$26:$R$40)</f>
        <v>10</v>
      </c>
      <c r="W42" s="16" t="n">
        <f aca="false">IF(V42&gt;0,SUMPRODUCT($R$26:$R$40,$P$26:$P$40,$N$26:$N$40)/SUMPRODUCT($R$26:$R$40,$P$26:$P$40),0)</f>
        <v>0.148148243016262</v>
      </c>
      <c r="X42" s="16" t="n">
        <f aca="false">IF(V42&gt;1,SUMPRODUCT($R$26:$R$40,$P$26:$P$40,($N$26:$N$40-W42)^2),0)</f>
        <v>19.5046081432525</v>
      </c>
      <c r="Y42" s="16" t="n">
        <f aca="false">IF(V42&gt;1,SUMPRODUCT($R$26:$R$40,$P$26:$P$40)-SUMPRODUCT($R$26:$R$40,$P$26:$P$40,$P$26:$P$40)/SUMPRODUCT($R$26:$R$40,$P$26:$P$40),0)</f>
        <v>1221.90098014559</v>
      </c>
      <c r="Z42" s="16" t="n">
        <f aca="false">IF(Y42&gt;0,MAX(0,(X42-(V42-1))/Y42),0)</f>
        <v>0.00859693896145406</v>
      </c>
      <c r="AA42" s="17" t="n">
        <f aca="false">IF(AND(V42&gt;1,X42&gt;0),MAX(0,(X42-(V42-1))/X42),0)</f>
        <v>0.538570581172455</v>
      </c>
      <c r="AB42" s="16" t="n">
        <f aca="false">IF(SUM($T$26:$T$40)&gt;0,SUMPRODUCT($T$26:$T$40,$N$26:$N$40)/SUM($T$26:$T$40),0)</f>
        <v>0.168746556179236</v>
      </c>
      <c r="AC42" s="16" t="n">
        <f aca="false">IF(SUM($T$26:$T$40)&gt;0,SQRT(1/SUM($T$26:$T$40)),0)</f>
        <v>0.044779253383817</v>
      </c>
    </row>
    <row r="44" customFormat="false" ht="15" hidden="false" customHeight="false" outlineLevel="0" collapsed="false">
      <c r="A44" s="8" t="s">
        <v>159</v>
      </c>
      <c r="B44" s="9"/>
      <c r="C44" s="9"/>
      <c r="D44" s="9"/>
      <c r="E44" s="9"/>
      <c r="F44" s="9"/>
      <c r="G44" s="9"/>
      <c r="H44" s="9"/>
      <c r="I44" s="9"/>
      <c r="J44" s="9"/>
      <c r="K44" s="9"/>
      <c r="L44" s="9"/>
      <c r="M44" s="9"/>
      <c r="N44" s="9"/>
      <c r="O44" s="9"/>
      <c r="P44" s="9"/>
      <c r="Q44" s="9"/>
      <c r="R44" s="9"/>
      <c r="S44" s="9"/>
      <c r="T44" s="9"/>
      <c r="U44" s="9"/>
    </row>
    <row r="45" customFormat="false" ht="15" hidden="false" customHeight="false" outlineLevel="0" collapsed="false">
      <c r="A45" s="10" t="s">
        <v>159</v>
      </c>
      <c r="B45" s="10" t="s">
        <v>160</v>
      </c>
      <c r="C45" s="10" t="n">
        <v>2004</v>
      </c>
      <c r="D45" s="10" t="s">
        <v>62</v>
      </c>
      <c r="E45" s="10" t="s">
        <v>122</v>
      </c>
      <c r="F45" s="10" t="s">
        <v>57</v>
      </c>
      <c r="G45" s="10" t="s">
        <v>161</v>
      </c>
      <c r="H45" s="10" t="n">
        <v>2.65</v>
      </c>
      <c r="I45" s="10" t="n">
        <v>12.38</v>
      </c>
      <c r="J45" s="10" t="s">
        <v>66</v>
      </c>
      <c r="K45" s="11" t="n">
        <v>0.99</v>
      </c>
      <c r="L45" s="11" t="n">
        <v>0.64</v>
      </c>
      <c r="M45" s="11" t="n">
        <v>1.5</v>
      </c>
      <c r="N45" s="12" t="n">
        <f aca="false">LN(K45)</f>
        <v>-0.0100503358535015</v>
      </c>
      <c r="O45" s="12" t="n">
        <f aca="false">(LN(M45)-LN(L45))/(2*1.959964)</f>
        <v>0.217287718227627</v>
      </c>
      <c r="P45" s="12" t="n">
        <f aca="false">IF(O45&gt;0,1/O45^2,0)</f>
        <v>21.180179739398</v>
      </c>
      <c r="Q45" s="13" t="n">
        <v>1</v>
      </c>
      <c r="R45" s="13" t="n">
        <v>1</v>
      </c>
      <c r="S45" s="12" t="n">
        <f aca="false">IF(Q45=1,1/(O45^2+$Z$49),0)</f>
        <v>20.736429592346</v>
      </c>
      <c r="T45" s="12" t="n">
        <f aca="false">IF(R45=1,1/(O45^2+$Z$50),0)</f>
        <v>21.180179739398</v>
      </c>
      <c r="U45" s="14" t="s">
        <v>162</v>
      </c>
    </row>
    <row r="46" customFormat="false" ht="15" hidden="false" customHeight="false" outlineLevel="0" collapsed="false">
      <c r="A46" s="10" t="s">
        <v>159</v>
      </c>
      <c r="B46" s="10" t="s">
        <v>163</v>
      </c>
      <c r="C46" s="10" t="n">
        <v>2018</v>
      </c>
      <c r="D46" s="10" t="s">
        <v>88</v>
      </c>
      <c r="E46" s="10" t="s">
        <v>122</v>
      </c>
      <c r="F46" s="10" t="s">
        <v>57</v>
      </c>
      <c r="G46" s="10" t="s">
        <v>164</v>
      </c>
      <c r="H46" s="10" t="n">
        <v>2.08</v>
      </c>
      <c r="I46" s="10" t="n">
        <v>25.16</v>
      </c>
      <c r="J46" s="10" t="s">
        <v>136</v>
      </c>
      <c r="K46" s="11" t="n">
        <v>1.18</v>
      </c>
      <c r="L46" s="11" t="n">
        <v>0.52</v>
      </c>
      <c r="M46" s="11" t="n">
        <v>2.67</v>
      </c>
      <c r="N46" s="12" t="n">
        <f aca="false">LN(K46)</f>
        <v>0.165514438477573</v>
      </c>
      <c r="O46" s="12" t="n">
        <f aca="false">(LN(M46)-LN(L46))/(2*1.959964)</f>
        <v>0.417355864653336</v>
      </c>
      <c r="P46" s="12" t="n">
        <f aca="false">IF(O46&gt;0,1/O46^2,0)</f>
        <v>5.74099222748175</v>
      </c>
      <c r="Q46" s="13" t="n">
        <v>1</v>
      </c>
      <c r="R46" s="13" t="n">
        <v>1</v>
      </c>
      <c r="S46" s="12" t="n">
        <f aca="false">IF(Q46=1,1/(O46^2+$Z$49),0)</f>
        <v>5.70788392010778</v>
      </c>
      <c r="T46" s="12" t="n">
        <f aca="false">IF(R46=1,1/(O46^2+$Z$50),0)</f>
        <v>5.74099222748175</v>
      </c>
      <c r="U46" s="14" t="s">
        <v>165</v>
      </c>
    </row>
    <row r="47" customFormat="false" ht="15" hidden="false" customHeight="false" outlineLevel="0" collapsed="false">
      <c r="A47" s="10" t="s">
        <v>159</v>
      </c>
      <c r="B47" s="10" t="s">
        <v>97</v>
      </c>
      <c r="C47" s="10" t="n">
        <v>2009</v>
      </c>
      <c r="D47" s="10" t="s">
        <v>62</v>
      </c>
      <c r="E47" s="10" t="s">
        <v>63</v>
      </c>
      <c r="F47" s="10" t="s">
        <v>64</v>
      </c>
      <c r="G47" s="10" t="s">
        <v>166</v>
      </c>
      <c r="H47" s="10" t="n">
        <v>0.8</v>
      </c>
      <c r="I47" s="10" t="n">
        <v>7.38</v>
      </c>
      <c r="J47" s="10" t="s">
        <v>66</v>
      </c>
      <c r="K47" s="11" t="n">
        <v>1.1</v>
      </c>
      <c r="L47" s="11" t="n">
        <v>0.96</v>
      </c>
      <c r="M47" s="11" t="n">
        <v>1.27</v>
      </c>
      <c r="N47" s="12" t="n">
        <f aca="false">LN(K47)</f>
        <v>0.0953101798043249</v>
      </c>
      <c r="O47" s="12" t="n">
        <f aca="false">(LN(M47)-LN(L47))/(2*1.959964)</f>
        <v>0.0713887844344986</v>
      </c>
      <c r="P47" s="12" t="n">
        <f aca="false">IF(O47&gt;0,1/O47^2,0)</f>
        <v>196.21853359721</v>
      </c>
      <c r="Q47" s="13" t="n">
        <v>1</v>
      </c>
      <c r="R47" s="13" t="n">
        <v>1</v>
      </c>
      <c r="S47" s="12" t="n">
        <f aca="false">IF(Q47=1,1/(O47^2+$Z$49),0)</f>
        <v>163.754145836917</v>
      </c>
      <c r="T47" s="12" t="n">
        <f aca="false">IF(R47=1,1/(O47^2+$Z$50),0)</f>
        <v>196.21853359721</v>
      </c>
      <c r="U47" s="14"/>
    </row>
    <row r="48" customFormat="false" ht="15" hidden="false" customHeight="false" outlineLevel="0" collapsed="false">
      <c r="A48" s="10" t="s">
        <v>159</v>
      </c>
      <c r="B48" s="10" t="s">
        <v>154</v>
      </c>
      <c r="C48" s="10" t="n">
        <v>2001</v>
      </c>
      <c r="D48" s="10" t="s">
        <v>88</v>
      </c>
      <c r="E48" s="10" t="s">
        <v>122</v>
      </c>
      <c r="F48" s="10" t="s">
        <v>57</v>
      </c>
      <c r="G48" s="10" t="s">
        <v>167</v>
      </c>
      <c r="H48" s="10" t="n">
        <v>1.59</v>
      </c>
      <c r="I48" s="10" t="n">
        <v>10.88</v>
      </c>
      <c r="J48" s="10" t="s">
        <v>59</v>
      </c>
      <c r="K48" s="11" t="n">
        <v>0.52</v>
      </c>
      <c r="L48" s="11" t="n">
        <v>0.22</v>
      </c>
      <c r="M48" s="11" t="n">
        <v>1.22</v>
      </c>
      <c r="N48" s="12" t="n">
        <f aca="false">LN(K48)</f>
        <v>-0.653926467406664</v>
      </c>
      <c r="O48" s="12" t="n">
        <f aca="false">(LN(M48)-LN(L48))/(2*1.959964)</f>
        <v>0.436992360924726</v>
      </c>
      <c r="P48" s="12" t="n">
        <f aca="false">IF(O48&gt;0,1/O48^2,0)</f>
        <v>5.23663506830768</v>
      </c>
      <c r="Q48" s="13" t="n">
        <v>1</v>
      </c>
      <c r="R48" s="13" t="n">
        <v>0</v>
      </c>
      <c r="S48" s="12" t="n">
        <f aca="false">IF(Q48=1,1/(O48^2+$Z$49),0)</f>
        <v>5.2090745254346</v>
      </c>
      <c r="T48" s="12" t="n">
        <f aca="false">IF(R48=1,1/(O48^2+$Z$50),0)</f>
        <v>0</v>
      </c>
      <c r="U48" s="14" t="s">
        <v>168</v>
      </c>
    </row>
    <row r="49" customFormat="false" ht="15" hidden="false" customHeight="false" outlineLevel="0" collapsed="false">
      <c r="A49" s="15"/>
      <c r="B49" s="15" t="s">
        <v>101</v>
      </c>
      <c r="C49" s="15"/>
      <c r="D49" s="15"/>
      <c r="E49" s="15"/>
      <c r="F49" s="15"/>
      <c r="G49" s="15"/>
      <c r="H49" s="15"/>
      <c r="I49" s="15"/>
      <c r="J49" s="15" t="s">
        <v>102</v>
      </c>
      <c r="K49" s="16" t="n">
        <f aca="false">IF(V49&gt;0,EXP(AB49),"")</f>
        <v>1.06844823427707</v>
      </c>
      <c r="L49" s="16" t="n">
        <f aca="false">IF(V49&gt;0,EXP(AB49-1.959964*AC49),"")</f>
        <v>0.928669694291875</v>
      </c>
      <c r="M49" s="16" t="n">
        <f aca="false">IF(V49&gt;0,EXP(AB49+1.959964*AC49),"")</f>
        <v>1.2292655142583</v>
      </c>
      <c r="N49" s="15"/>
      <c r="O49" s="15"/>
      <c r="P49" s="15"/>
      <c r="Q49" s="15"/>
      <c r="R49" s="15"/>
      <c r="S49" s="15"/>
      <c r="T49" s="15"/>
      <c r="U49" s="15"/>
      <c r="V49" s="15" t="n">
        <f aca="false">SUM($Q$45:$Q$48)</f>
        <v>4</v>
      </c>
      <c r="W49" s="16" t="n">
        <f aca="false">IF(V49&gt;0,SUMPRODUCT($Q$45:$Q$48,$P$45:$P$48,$N$45:$N$48)/SUMPRODUCT($Q$45:$Q$48,$P$45:$P$48),0)</f>
        <v>0.0701237202918918</v>
      </c>
      <c r="X49" s="16" t="n">
        <f aca="false">IF(V49&gt;1,SUMPRODUCT($Q$45:$Q$48,$P$45:$P$48,($N$45:$N$48-W49)^2),0)</f>
        <v>3.05815489910681</v>
      </c>
      <c r="Y49" s="16" t="n">
        <f aca="false">IF(V49&gt;1,SUMPRODUCT($Q$45:$Q$48,$P$45:$P$48)-SUMPRODUCT($Q$45:$Q$48,$P$45:$P$48,$P$45:$P$48)/SUMPRODUCT($Q$45:$Q$48,$P$45:$P$48),0)</f>
        <v>57.5587586911041</v>
      </c>
      <c r="Z49" s="16" t="n">
        <f aca="false">IF(Y49&gt;0,MAX(0,(X49-(V49-1))/Y49),0)</f>
        <v>0.00101035707560863</v>
      </c>
      <c r="AA49" s="17" t="n">
        <f aca="false">IF(AND(V49&gt;1,X49&gt;0),MAX(0,(X49-(V49-1))/X49),0)</f>
        <v>0.0190163353477589</v>
      </c>
      <c r="AB49" s="16" t="n">
        <f aca="false">IF(SUM($S$45:$S$48)&gt;0,SUMPRODUCT($S$45:$S$48,$N$45:$N$48)/SUM($S$45:$S$48),0)</f>
        <v>0.0662073475066718</v>
      </c>
      <c r="AC49" s="16" t="n">
        <f aca="false">IF(SUM($S$45:$S$48)&gt;0,SQRT(1/SUM($S$45:$S$48)),0)</f>
        <v>0.0715367734496166</v>
      </c>
    </row>
    <row r="50" customFormat="false" ht="15" hidden="false" customHeight="false" outlineLevel="0" collapsed="false">
      <c r="A50" s="15"/>
      <c r="B50" s="15" t="s">
        <v>103</v>
      </c>
      <c r="C50" s="15"/>
      <c r="D50" s="15"/>
      <c r="E50" s="15"/>
      <c r="F50" s="15"/>
      <c r="G50" s="15"/>
      <c r="H50" s="15"/>
      <c r="I50" s="15"/>
      <c r="J50" s="15" t="s">
        <v>102</v>
      </c>
      <c r="K50" s="16" t="n">
        <f aca="false">IF(V50&gt;0,EXP(AB50),"")</f>
        <v>1.09102290990274</v>
      </c>
      <c r="L50" s="16" t="n">
        <f aca="false">IF(V50&gt;0,EXP(AB50-1.959964*AC50),"")</f>
        <v>0.956865827697712</v>
      </c>
      <c r="M50" s="16" t="n">
        <f aca="false">IF(V50&gt;0,EXP(AB50+1.959964*AC50),"")</f>
        <v>1.2439894449953</v>
      </c>
      <c r="N50" s="15"/>
      <c r="O50" s="15"/>
      <c r="P50" s="15"/>
      <c r="Q50" s="15"/>
      <c r="R50" s="15"/>
      <c r="S50" s="15"/>
      <c r="T50" s="15"/>
      <c r="U50" s="15"/>
      <c r="V50" s="15" t="n">
        <f aca="false">SUM($R$45:$R$48)</f>
        <v>3</v>
      </c>
      <c r="W50" s="16" t="n">
        <f aca="false">IF(V50&gt;0,SUMPRODUCT($R$45:$R$48,$P$45:$P$48,$N$45:$N$48)/SUMPRODUCT($R$45:$R$48,$P$45:$P$48),0)</f>
        <v>0.0871157056247218</v>
      </c>
      <c r="X50" s="16" t="n">
        <f aca="false">IF(V50&gt;1,SUMPRODUCT($R$45:$R$48,$P$45:$P$48,($N$45:$N$48-W50)^2),0)</f>
        <v>0.248429322755245</v>
      </c>
      <c r="Y50" s="16" t="n">
        <f aca="false">IF(V50&gt;1,SUMPRODUCT($R$45:$R$48,$P$45:$P$48)-SUMPRODUCT($R$45:$R$48,$P$45:$P$48,$P$45:$P$48)/SUMPRODUCT($R$45:$R$48,$P$45:$P$48),0)</f>
        <v>48.4362755580305</v>
      </c>
      <c r="Z50" s="16" t="n">
        <f aca="false">IF(Y50&gt;0,MAX(0,(X50-(V50-1))/Y50),0)</f>
        <v>0</v>
      </c>
      <c r="AA50" s="17" t="n">
        <f aca="false">IF(AND(V50&gt;1,X50&gt;0),MAX(0,(X50-(V50-1))/X50),0)</f>
        <v>0</v>
      </c>
      <c r="AB50" s="16" t="n">
        <f aca="false">IF(SUM($T$45:$T$48)&gt;0,SUMPRODUCT($T$45:$T$48,$N$45:$N$48)/SUM($T$45:$T$48),0)</f>
        <v>0.0871157056247218</v>
      </c>
      <c r="AC50" s="16" t="n">
        <f aca="false">IF(SUM($T$45:$T$48)&gt;0,SQRT(1/SUM($T$45:$T$48)),0)</f>
        <v>0.0669439866884318</v>
      </c>
    </row>
    <row r="52" customFormat="false" ht="15" hidden="false" customHeight="false" outlineLevel="0" collapsed="false">
      <c r="A52" s="8" t="s">
        <v>169</v>
      </c>
      <c r="B52" s="9"/>
      <c r="C52" s="9"/>
      <c r="D52" s="9"/>
      <c r="E52" s="9"/>
      <c r="F52" s="9"/>
      <c r="G52" s="9"/>
      <c r="H52" s="9"/>
      <c r="I52" s="9"/>
      <c r="J52" s="9"/>
      <c r="K52" s="9"/>
      <c r="L52" s="9"/>
      <c r="M52" s="9"/>
      <c r="N52" s="9"/>
      <c r="O52" s="9"/>
      <c r="P52" s="9"/>
      <c r="Q52" s="9"/>
      <c r="R52" s="9"/>
      <c r="S52" s="9"/>
      <c r="T52" s="9"/>
      <c r="U52" s="9"/>
    </row>
    <row r="53" customFormat="false" ht="15" hidden="false" customHeight="false" outlineLevel="0" collapsed="false">
      <c r="A53" s="10" t="s">
        <v>169</v>
      </c>
      <c r="B53" s="10" t="s">
        <v>170</v>
      </c>
      <c r="C53" s="10" t="n">
        <v>2020</v>
      </c>
      <c r="D53" s="10" t="s">
        <v>62</v>
      </c>
      <c r="E53" s="10" t="s">
        <v>171</v>
      </c>
      <c r="F53" s="10" t="s">
        <v>57</v>
      </c>
      <c r="G53" s="10" t="s">
        <v>172</v>
      </c>
      <c r="H53" s="10" t="n">
        <v>0.93</v>
      </c>
      <c r="I53" s="10" t="n">
        <v>9.15</v>
      </c>
      <c r="J53" s="10" t="s">
        <v>66</v>
      </c>
      <c r="K53" s="11" t="n">
        <v>1.5</v>
      </c>
      <c r="L53" s="11" t="n">
        <v>0.97</v>
      </c>
      <c r="M53" s="11" t="n">
        <v>2.3</v>
      </c>
      <c r="N53" s="12" t="n">
        <f aca="false">LN(K53)</f>
        <v>0.405465108108164</v>
      </c>
      <c r="O53" s="12" t="n">
        <f aca="false">(LN(M53)-LN(L53))/(2*1.959964)</f>
        <v>0.220251068494067</v>
      </c>
      <c r="P53" s="12" t="n">
        <f aca="false">IF(O53&gt;0,1/O53^2,0)</f>
        <v>20.6140797595098</v>
      </c>
      <c r="Q53" s="13" t="n">
        <v>1</v>
      </c>
      <c r="R53" s="13" t="n">
        <v>1</v>
      </c>
      <c r="S53" s="12" t="n">
        <f aca="false">IF(Q53=1,1/(O53^2+$Z$60),0)</f>
        <v>3.67337336720915</v>
      </c>
      <c r="T53" s="12" t="n">
        <f aca="false">IF(R53=1,1/(O53^2+$Z$61),0)</f>
        <v>3.72843064023983</v>
      </c>
      <c r="U53" s="14" t="s">
        <v>173</v>
      </c>
    </row>
    <row r="54" customFormat="false" ht="15" hidden="false" customHeight="false" outlineLevel="0" collapsed="false">
      <c r="A54" s="10" t="s">
        <v>169</v>
      </c>
      <c r="B54" s="10" t="s">
        <v>61</v>
      </c>
      <c r="C54" s="10" t="n">
        <v>2007</v>
      </c>
      <c r="D54" s="10" t="s">
        <v>62</v>
      </c>
      <c r="E54" s="10" t="s">
        <v>63</v>
      </c>
      <c r="F54" s="10" t="s">
        <v>64</v>
      </c>
      <c r="G54" s="10" t="s">
        <v>174</v>
      </c>
      <c r="H54" s="10" t="n">
        <v>0.8</v>
      </c>
      <c r="I54" s="10" t="n">
        <v>7.38</v>
      </c>
      <c r="J54" s="10" t="s">
        <v>66</v>
      </c>
      <c r="K54" s="11" t="n">
        <v>1.96</v>
      </c>
      <c r="L54" s="11" t="n">
        <v>1.41</v>
      </c>
      <c r="M54" s="11" t="n">
        <v>2.72</v>
      </c>
      <c r="N54" s="12" t="n">
        <f aca="false">LN(K54)</f>
        <v>0.672944473242426</v>
      </c>
      <c r="O54" s="12" t="n">
        <f aca="false">(LN(M54)-LN(L54))/(2*1.959964)</f>
        <v>0.167615878638033</v>
      </c>
      <c r="P54" s="12" t="n">
        <f aca="false">IF(O54&gt;0,1/O54^2,0)</f>
        <v>35.5934171160675</v>
      </c>
      <c r="Q54" s="13" t="n">
        <v>1</v>
      </c>
      <c r="R54" s="13" t="n">
        <v>1</v>
      </c>
      <c r="S54" s="12" t="n">
        <f aca="false">IF(Q54=1,1/(O54^2+$Z$60),0)</f>
        <v>3.97118685357769</v>
      </c>
      <c r="T54" s="12" t="n">
        <f aca="false">IF(R54=1,1/(O54^2+$Z$61),0)</f>
        <v>4.03561167866468</v>
      </c>
      <c r="U54" s="14" t="s">
        <v>175</v>
      </c>
    </row>
    <row r="55" customFormat="false" ht="15" hidden="false" customHeight="false" outlineLevel="0" collapsed="false">
      <c r="A55" s="10" t="s">
        <v>169</v>
      </c>
      <c r="B55" s="10" t="s">
        <v>125</v>
      </c>
      <c r="C55" s="10" t="n">
        <v>2015</v>
      </c>
      <c r="D55" s="10" t="s">
        <v>62</v>
      </c>
      <c r="E55" s="10" t="s">
        <v>75</v>
      </c>
      <c r="F55" s="10" t="s">
        <v>57</v>
      </c>
      <c r="G55" s="10" t="s">
        <v>176</v>
      </c>
      <c r="H55" s="10" t="n">
        <v>22.11</v>
      </c>
      <c r="I55" s="10" t="n">
        <v>44.23</v>
      </c>
      <c r="J55" s="10" t="s">
        <v>66</v>
      </c>
      <c r="K55" s="11" t="n">
        <v>1.04</v>
      </c>
      <c r="L55" s="11" t="n">
        <v>0.6</v>
      </c>
      <c r="M55" s="11" t="n">
        <v>1.81</v>
      </c>
      <c r="N55" s="12" t="n">
        <f aca="false">LN(K55)</f>
        <v>0.0392207131532813</v>
      </c>
      <c r="O55" s="12" t="n">
        <f aca="false">(LN(M55)-LN(L55))/(2*1.959964)</f>
        <v>0.281676721879515</v>
      </c>
      <c r="P55" s="12" t="n">
        <f aca="false">IF(O55&gt;0,1/O55^2,0)</f>
        <v>12.6037007846478</v>
      </c>
      <c r="Q55" s="13" t="n">
        <v>1</v>
      </c>
      <c r="R55" s="13" t="n">
        <v>1</v>
      </c>
      <c r="S55" s="12" t="n">
        <f aca="false">IF(Q55=1,1/(O55^2+$Z$60),0)</f>
        <v>3.29967031150442</v>
      </c>
      <c r="T55" s="12" t="n">
        <f aca="false">IF(R55=1,1/(O55^2+$Z$61),0)</f>
        <v>3.3440274931695</v>
      </c>
      <c r="U55" s="14" t="s">
        <v>177</v>
      </c>
    </row>
    <row r="56" customFormat="false" ht="15" hidden="false" customHeight="false" outlineLevel="0" collapsed="false">
      <c r="A56" s="10" t="s">
        <v>169</v>
      </c>
      <c r="B56" s="10" t="s">
        <v>134</v>
      </c>
      <c r="C56" s="10" t="n">
        <v>2016</v>
      </c>
      <c r="D56" s="10" t="s">
        <v>88</v>
      </c>
      <c r="E56" s="10" t="s">
        <v>122</v>
      </c>
      <c r="F56" s="10" t="s">
        <v>57</v>
      </c>
      <c r="G56" s="10" t="s">
        <v>178</v>
      </c>
      <c r="H56" s="10" t="n">
        <v>2.08</v>
      </c>
      <c r="I56" s="10" t="n">
        <v>13.14</v>
      </c>
      <c r="J56" s="10" t="s">
        <v>136</v>
      </c>
      <c r="K56" s="11" t="n">
        <v>1.48</v>
      </c>
      <c r="L56" s="11" t="n">
        <v>0.92</v>
      </c>
      <c r="M56" s="11" t="n">
        <v>2.4</v>
      </c>
      <c r="N56" s="12" t="n">
        <f aca="false">LN(K56)</f>
        <v>0.392042087776024</v>
      </c>
      <c r="O56" s="12" t="n">
        <f aca="false">(LN(M56)-LN(L56))/(2*1.959964)</f>
        <v>0.244609172998318</v>
      </c>
      <c r="P56" s="12" t="n">
        <f aca="false">IF(O56&gt;0,1/O56^2,0)</f>
        <v>16.7130041629273</v>
      </c>
      <c r="Q56" s="13" t="n">
        <v>1</v>
      </c>
      <c r="R56" s="13" t="n">
        <v>1</v>
      </c>
      <c r="S56" s="12" t="n">
        <f aca="false">IF(Q56=1,1/(O56^2+$Z$60),0)</f>
        <v>3.52668436376723</v>
      </c>
      <c r="T56" s="12" t="n">
        <f aca="false">IF(R56=1,1/(O56^2+$Z$61),0)</f>
        <v>3.57740186840806</v>
      </c>
      <c r="U56" s="14" t="s">
        <v>179</v>
      </c>
    </row>
    <row r="57" customFormat="false" ht="15" hidden="false" customHeight="false" outlineLevel="0" collapsed="false">
      <c r="A57" s="10" t="s">
        <v>169</v>
      </c>
      <c r="B57" s="10" t="s">
        <v>93</v>
      </c>
      <c r="C57" s="10" t="n">
        <v>2003</v>
      </c>
      <c r="D57" s="10" t="s">
        <v>62</v>
      </c>
      <c r="E57" s="10" t="s">
        <v>122</v>
      </c>
      <c r="F57" s="10" t="s">
        <v>57</v>
      </c>
      <c r="G57" s="10" t="s">
        <v>180</v>
      </c>
      <c r="H57" s="10" t="n">
        <v>2.65</v>
      </c>
      <c r="I57" s="10" t="n">
        <v>13.67</v>
      </c>
      <c r="J57" s="10" t="s">
        <v>66</v>
      </c>
      <c r="K57" s="11" t="n">
        <v>0.5</v>
      </c>
      <c r="L57" s="11" t="n">
        <v>0.4</v>
      </c>
      <c r="M57" s="11" t="n">
        <v>0.8</v>
      </c>
      <c r="N57" s="12" t="n">
        <f aca="false">LN(K57)</f>
        <v>-0.693147180559945</v>
      </c>
      <c r="O57" s="12" t="n">
        <f aca="false">(LN(M57)-LN(L57))/(2*1.959964)</f>
        <v>0.176826508180749</v>
      </c>
      <c r="P57" s="12" t="n">
        <f aca="false">IF(O57&gt;0,1/O57^2,0)</f>
        <v>31.981973429352</v>
      </c>
      <c r="Q57" s="13" t="n">
        <v>1</v>
      </c>
      <c r="R57" s="13" t="n">
        <v>1</v>
      </c>
      <c r="S57" s="12" t="n">
        <f aca="false">IF(Q57=1,1/(O57^2+$Z$60),0)</f>
        <v>3.92177749936017</v>
      </c>
      <c r="T57" s="12" t="n">
        <f aca="false">IF(R57=1,1/(O57^2+$Z$61),0)</f>
        <v>3.98459647536274</v>
      </c>
      <c r="U57" s="14" t="s">
        <v>181</v>
      </c>
    </row>
    <row r="58" customFormat="false" ht="15" hidden="false" customHeight="false" outlineLevel="0" collapsed="false">
      <c r="A58" s="10" t="s">
        <v>169</v>
      </c>
      <c r="B58" s="10" t="s">
        <v>154</v>
      </c>
      <c r="C58" s="10" t="n">
        <v>2001</v>
      </c>
      <c r="D58" s="10" t="s">
        <v>88</v>
      </c>
      <c r="E58" s="10" t="s">
        <v>122</v>
      </c>
      <c r="F58" s="10" t="s">
        <v>57</v>
      </c>
      <c r="G58" s="10" t="s">
        <v>167</v>
      </c>
      <c r="H58" s="10" t="n">
        <v>1.59</v>
      </c>
      <c r="I58" s="10" t="n">
        <v>10.88</v>
      </c>
      <c r="J58" s="10" t="s">
        <v>59</v>
      </c>
      <c r="K58" s="11" t="n">
        <v>2.43</v>
      </c>
      <c r="L58" s="11" t="n">
        <v>1.01</v>
      </c>
      <c r="M58" s="11" t="n">
        <v>5.88</v>
      </c>
      <c r="N58" s="12" t="n">
        <f aca="false">LN(K58)</f>
        <v>0.887891257352457</v>
      </c>
      <c r="O58" s="12" t="n">
        <f aca="false">(LN(M58)-LN(L58))/(2*1.959964)</f>
        <v>0.449397649920449</v>
      </c>
      <c r="P58" s="12" t="n">
        <f aca="false">IF(O58&gt;0,1/O58^2,0)</f>
        <v>4.95151850009097</v>
      </c>
      <c r="Q58" s="13" t="n">
        <v>1</v>
      </c>
      <c r="R58" s="13" t="n">
        <v>0</v>
      </c>
      <c r="S58" s="12" t="n">
        <f aca="false">IF(Q58=1,1/(O58^2+$Z$60),0)</f>
        <v>2.34919875037836</v>
      </c>
      <c r="T58" s="12" t="n">
        <f aca="false">IF(R58=1,1/(O58^2+$Z$61),0)</f>
        <v>0</v>
      </c>
      <c r="U58" s="14" t="s">
        <v>182</v>
      </c>
    </row>
    <row r="59" customFormat="false" ht="15" hidden="false" customHeight="false" outlineLevel="0" collapsed="false">
      <c r="A59" s="10" t="s">
        <v>169</v>
      </c>
      <c r="B59" s="10" t="s">
        <v>183</v>
      </c>
      <c r="C59" s="10" t="n">
        <v>2006</v>
      </c>
      <c r="D59" s="10" t="s">
        <v>88</v>
      </c>
      <c r="E59" s="10" t="s">
        <v>89</v>
      </c>
      <c r="F59" s="10" t="s">
        <v>184</v>
      </c>
      <c r="G59" s="10" t="s">
        <v>185</v>
      </c>
      <c r="H59" s="10" t="n">
        <v>0.9</v>
      </c>
      <c r="I59" s="10" t="n">
        <v>7.7</v>
      </c>
      <c r="J59" s="10" t="s">
        <v>59</v>
      </c>
      <c r="K59" s="11" t="n">
        <v>1.06</v>
      </c>
      <c r="L59" s="11" t="n">
        <v>0.82</v>
      </c>
      <c r="M59" s="11" t="n">
        <v>1.38</v>
      </c>
      <c r="N59" s="12" t="n">
        <f aca="false">LN(K59)</f>
        <v>0.0582689081239758</v>
      </c>
      <c r="O59" s="12" t="n">
        <f aca="false">(LN(M59)-LN(L59))/(2*1.959964)</f>
        <v>0.132791836455402</v>
      </c>
      <c r="P59" s="12" t="n">
        <f aca="false">IF(O59&gt;0,1/O59^2,0)</f>
        <v>56.7096864275412</v>
      </c>
      <c r="Q59" s="13" t="n">
        <v>1</v>
      </c>
      <c r="R59" s="13" t="n">
        <v>1</v>
      </c>
      <c r="S59" s="12" t="n">
        <f aca="false">IF(Q59=1,1/(O59^2+$Z$60),0)</f>
        <v>4.14331774769172</v>
      </c>
      <c r="T59" s="12" t="n">
        <f aca="false">IF(R59=1,1/(O59^2+$Z$61),0)</f>
        <v>4.21349794461725</v>
      </c>
      <c r="U59" s="14"/>
    </row>
    <row r="60" customFormat="false" ht="15" hidden="false" customHeight="false" outlineLevel="0" collapsed="false">
      <c r="A60" s="15"/>
      <c r="B60" s="15" t="s">
        <v>101</v>
      </c>
      <c r="C60" s="15"/>
      <c r="D60" s="15"/>
      <c r="E60" s="15"/>
      <c r="F60" s="15"/>
      <c r="G60" s="15"/>
      <c r="H60" s="15"/>
      <c r="I60" s="15"/>
      <c r="J60" s="15" t="s">
        <v>102</v>
      </c>
      <c r="K60" s="16" t="n">
        <f aca="false">IF(V60&gt;0,EXP(AB60),"")</f>
        <v>1.23649880370567</v>
      </c>
      <c r="L60" s="16" t="n">
        <f aca="false">IF(V60&gt;0,EXP(AB60-1.959964*AC60),"")</f>
        <v>0.834759168801074</v>
      </c>
      <c r="M60" s="16" t="n">
        <f aca="false">IF(V60&gt;0,EXP(AB60+1.959964*AC60),"")</f>
        <v>1.83158130956679</v>
      </c>
      <c r="N60" s="15"/>
      <c r="O60" s="15"/>
      <c r="P60" s="15"/>
      <c r="Q60" s="15"/>
      <c r="R60" s="15"/>
      <c r="S60" s="15"/>
      <c r="T60" s="15"/>
      <c r="U60" s="15"/>
      <c r="V60" s="15" t="n">
        <f aca="false">SUM($Q$53:$Q$59)</f>
        <v>7</v>
      </c>
      <c r="W60" s="16" t="n">
        <f aca="false">IF(V60&gt;0,SUMPRODUCT($Q$53:$Q$59,$P$53:$P$59,$N$53:$N$59)/SUMPRODUCT($Q$53:$Q$59,$P$53:$P$59),0)</f>
        <v>0.138919357682244</v>
      </c>
      <c r="X60" s="16" t="n">
        <f aca="false">IF(V60&gt;1,SUMPRODUCT($Q$53:$Q$59,$P$53:$P$59,($N$53:$N$59-W60)^2),0)</f>
        <v>38.0999886292574</v>
      </c>
      <c r="Y60" s="16" t="n">
        <f aca="false">IF(V60&gt;1,SUMPRODUCT($Q$53:$Q$59,$P$53:$P$59)-SUMPRODUCT($Q$53:$Q$59,$P$53:$P$59,$P$53:$P$59)/SUMPRODUCT($Q$53:$Q$59,$P$53:$P$59),0)</f>
        <v>143.483640784475</v>
      </c>
      <c r="Z60" s="16" t="n">
        <f aca="false">IF(Y60&gt;0,MAX(0,(X60-(V60-1))/Y60),0)</f>
        <v>0.223718804832074</v>
      </c>
      <c r="AA60" s="17" t="n">
        <f aca="false">IF(AND(V60&gt;1,X60&gt;0),MAX(0,(X60-(V60-1))/X60),0)</f>
        <v>0.842519638040193</v>
      </c>
      <c r="AB60" s="16" t="n">
        <f aca="false">IF(SUM($S$53:$S$59)&gt;0,SUMPRODUCT($S$53:$S$59,$N$53:$N$59)/SUM($S$53:$S$59),0)</f>
        <v>0.212283840494573</v>
      </c>
      <c r="AC60" s="16" t="n">
        <f aca="false">IF(SUM($S$53:$S$59)&gt;0,SQRT(1/SUM($S$53:$S$59)),0)</f>
        <v>0.20046075174064</v>
      </c>
    </row>
    <row r="61" customFormat="false" ht="15" hidden="false" customHeight="false" outlineLevel="0" collapsed="false">
      <c r="A61" s="15"/>
      <c r="B61" s="15" t="s">
        <v>103</v>
      </c>
      <c r="C61" s="15"/>
      <c r="D61" s="15"/>
      <c r="E61" s="15"/>
      <c r="F61" s="15"/>
      <c r="G61" s="15"/>
      <c r="H61" s="15"/>
      <c r="I61" s="15"/>
      <c r="J61" s="15" t="s">
        <v>102</v>
      </c>
      <c r="K61" s="16" t="n">
        <f aca="false">IF(V61&gt;0,EXP(AB61),"")</f>
        <v>1.15233874310252</v>
      </c>
      <c r="L61" s="16" t="n">
        <f aca="false">IF(V61&gt;0,EXP(AB61-1.959964*AC61),"")</f>
        <v>0.764964720307917</v>
      </c>
      <c r="M61" s="16" t="n">
        <f aca="false">IF(V61&gt;0,EXP(AB61+1.959964*AC61),"")</f>
        <v>1.7358768889637</v>
      </c>
      <c r="N61" s="15"/>
      <c r="O61" s="15"/>
      <c r="P61" s="15"/>
      <c r="Q61" s="15"/>
      <c r="R61" s="15"/>
      <c r="S61" s="15"/>
      <c r="T61" s="15"/>
      <c r="U61" s="15"/>
      <c r="V61" s="15" t="n">
        <f aca="false">SUM($R$53:$R$59)</f>
        <v>6</v>
      </c>
      <c r="W61" s="16" t="n">
        <f aca="false">IF(V61&gt;0,SUMPRODUCT($R$53:$R$59,$P$53:$P$59,$N$53:$N$59)/SUMPRODUCT($R$53:$R$59,$P$53:$P$59),0)</f>
        <v>0.117632270608185</v>
      </c>
      <c r="X61" s="16" t="n">
        <f aca="false">IF(V61&gt;1,SUMPRODUCT($R$53:$R$59,$P$53:$P$59,($N$53:$N$59-W61)^2),0)</f>
        <v>35.2434460371344</v>
      </c>
      <c r="Y61" s="16" t="n">
        <f aca="false">IF(V61&gt;1,SUMPRODUCT($R$53:$R$59,$P$53:$P$59)-SUMPRODUCT($R$53:$R$59,$P$53:$P$59,$P$53:$P$59)/SUMPRODUCT($R$53:$R$59,$P$53:$P$59),0)</f>
        <v>137.65865899094</v>
      </c>
      <c r="Z61" s="16" t="n">
        <f aca="false">IF(Y61&gt;0,MAX(0,(X61-(V61-1))/Y61),0)</f>
        <v>0.219698827947502</v>
      </c>
      <c r="AA61" s="17" t="n">
        <f aca="false">IF(AND(V61&gt;1,X61&gt;0),MAX(0,(X61-(V61-1))/X61),0)</f>
        <v>0.858129650695005</v>
      </c>
      <c r="AB61" s="16" t="n">
        <f aca="false">IF(SUM($T$53:$T$59)&gt;0,SUMPRODUCT($T$53:$T$59,$N$53:$N$59)/SUM($T$53:$T$59),0)</f>
        <v>0.141793566882157</v>
      </c>
      <c r="AC61" s="16" t="n">
        <f aca="false">IF(SUM($T$53:$T$59)&gt;0,SQRT(1/SUM($T$53:$T$59)),0)</f>
        <v>0.209044212212951</v>
      </c>
    </row>
    <row r="63" customFormat="false" ht="15" hidden="false" customHeight="false" outlineLevel="0" collapsed="false">
      <c r="A63" s="8" t="s">
        <v>186</v>
      </c>
      <c r="B63" s="9"/>
      <c r="C63" s="9"/>
      <c r="D63" s="9"/>
      <c r="E63" s="9"/>
      <c r="F63" s="9"/>
      <c r="G63" s="9"/>
      <c r="H63" s="9"/>
      <c r="I63" s="9"/>
      <c r="J63" s="9"/>
      <c r="K63" s="9"/>
      <c r="L63" s="9"/>
      <c r="M63" s="9"/>
      <c r="N63" s="9"/>
      <c r="O63" s="9"/>
      <c r="P63" s="9"/>
      <c r="Q63" s="9"/>
      <c r="R63" s="9"/>
      <c r="S63" s="9"/>
      <c r="T63" s="9"/>
      <c r="U63" s="9"/>
    </row>
    <row r="64" customFormat="false" ht="15" hidden="false" customHeight="false" outlineLevel="0" collapsed="false">
      <c r="A64" s="10" t="s">
        <v>186</v>
      </c>
      <c r="B64" s="10" t="s">
        <v>134</v>
      </c>
      <c r="C64" s="10" t="n">
        <v>2017</v>
      </c>
      <c r="D64" s="10" t="s">
        <v>88</v>
      </c>
      <c r="E64" s="10" t="s">
        <v>122</v>
      </c>
      <c r="F64" s="10" t="s">
        <v>57</v>
      </c>
      <c r="G64" s="10" t="s">
        <v>187</v>
      </c>
      <c r="H64" s="10" t="n">
        <v>2.74</v>
      </c>
      <c r="I64" s="10" t="n">
        <v>12.3</v>
      </c>
      <c r="J64" s="10" t="s">
        <v>136</v>
      </c>
      <c r="K64" s="11" t="n">
        <v>2.3</v>
      </c>
      <c r="L64" s="11" t="n">
        <v>1.2</v>
      </c>
      <c r="M64" s="11" t="n">
        <v>4.3</v>
      </c>
      <c r="N64" s="12" t="n">
        <f aca="false">LN(K64)</f>
        <v>0.832909122935104</v>
      </c>
      <c r="O64" s="12" t="n">
        <f aca="false">(LN(M64)-LN(L64))/(2*1.959964)</f>
        <v>0.325591048076792</v>
      </c>
      <c r="P64" s="12" t="n">
        <f aca="false">IF(O64&gt;0,1/O64^2,0)</f>
        <v>9.43311412149216</v>
      </c>
      <c r="Q64" s="13" t="n">
        <v>1</v>
      </c>
      <c r="R64" s="13" t="n">
        <v>1</v>
      </c>
      <c r="S64" s="12" t="n">
        <f aca="false">IF(Q64=1,1/(O64^2+$Z$68),0)</f>
        <v>4.22388444085355</v>
      </c>
      <c r="T64" s="12" t="n">
        <f aca="false">IF(R64=1,1/(O64^2+$Z$69),0)</f>
        <v>3.04305346392601</v>
      </c>
      <c r="U64" s="14" t="s">
        <v>188</v>
      </c>
    </row>
    <row r="65" customFormat="false" ht="15" hidden="false" customHeight="false" outlineLevel="0" collapsed="false">
      <c r="A65" s="10" t="s">
        <v>186</v>
      </c>
      <c r="B65" s="10" t="s">
        <v>189</v>
      </c>
      <c r="C65" s="10" t="n">
        <v>2005</v>
      </c>
      <c r="D65" s="10" t="s">
        <v>88</v>
      </c>
      <c r="E65" s="10" t="s">
        <v>190</v>
      </c>
      <c r="F65" s="10" t="s">
        <v>64</v>
      </c>
      <c r="G65" s="10" t="s">
        <v>191</v>
      </c>
      <c r="H65" s="10"/>
      <c r="I65" s="10"/>
      <c r="J65" s="10" t="s">
        <v>59</v>
      </c>
      <c r="K65" s="11" t="n">
        <v>0.87</v>
      </c>
      <c r="L65" s="11" t="n">
        <v>0.34</v>
      </c>
      <c r="M65" s="11" t="n">
        <v>2.22</v>
      </c>
      <c r="N65" s="12" t="n">
        <f aca="false">LN(K65)</f>
        <v>-0.139262067333508</v>
      </c>
      <c r="O65" s="12" t="n">
        <f aca="false">(LN(M65)-LN(L65))/(2*1.959964)</f>
        <v>0.478661051237706</v>
      </c>
      <c r="P65" s="12" t="n">
        <f aca="false">IF(O65&gt;0,1/O65^2,0)</f>
        <v>4.36459367986353</v>
      </c>
      <c r="Q65" s="13" t="n">
        <v>1</v>
      </c>
      <c r="R65" s="13" t="n">
        <v>1</v>
      </c>
      <c r="S65" s="12" t="n">
        <f aca="false">IF(Q65=1,1/(O65^2+$Z$68),0)</f>
        <v>2.77889108997503</v>
      </c>
      <c r="T65" s="12" t="n">
        <f aca="false">IF(R65=1,1/(O65^2+$Z$69),0)</f>
        <v>2.21374031512297</v>
      </c>
      <c r="U65" s="14"/>
    </row>
    <row r="66" customFormat="false" ht="15" hidden="false" customHeight="false" outlineLevel="0" collapsed="false">
      <c r="A66" s="10" t="s">
        <v>186</v>
      </c>
      <c r="B66" s="10" t="s">
        <v>93</v>
      </c>
      <c r="C66" s="10" t="n">
        <v>2007</v>
      </c>
      <c r="D66" s="10" t="s">
        <v>62</v>
      </c>
      <c r="E66" s="10" t="s">
        <v>122</v>
      </c>
      <c r="F66" s="10" t="s">
        <v>57</v>
      </c>
      <c r="G66" s="10" t="s">
        <v>192</v>
      </c>
      <c r="H66" s="10" t="n">
        <v>2.74</v>
      </c>
      <c r="I66" s="10" t="n">
        <v>12.3</v>
      </c>
      <c r="J66" s="10" t="s">
        <v>66</v>
      </c>
      <c r="K66" s="11" t="n">
        <v>0.89</v>
      </c>
      <c r="L66" s="11" t="n">
        <v>0.57</v>
      </c>
      <c r="M66" s="11" t="n">
        <v>1.39</v>
      </c>
      <c r="N66" s="12" t="n">
        <f aca="false">LN(K66)</f>
        <v>-0.116533816255952</v>
      </c>
      <c r="O66" s="12" t="n">
        <f aca="false">(LN(M66)-LN(L66))/(2*1.959964)</f>
        <v>0.227407918027102</v>
      </c>
      <c r="P66" s="12" t="n">
        <f aca="false">IF(O66&gt;0,1/O66^2,0)</f>
        <v>19.3369883559397</v>
      </c>
      <c r="Q66" s="13" t="n">
        <v>1</v>
      </c>
      <c r="R66" s="13" t="n">
        <v>1</v>
      </c>
      <c r="S66" s="12" t="n">
        <f aca="false">IF(Q66=1,1/(O66^2+$Z$68),0)</f>
        <v>5.48084158316162</v>
      </c>
      <c r="T66" s="12" t="n">
        <f aca="false">IF(R66=1,1/(O66^2+$Z$69),0)</f>
        <v>3.64534940543779</v>
      </c>
      <c r="U66" s="14" t="s">
        <v>193</v>
      </c>
    </row>
    <row r="67" customFormat="false" ht="15" hidden="false" customHeight="false" outlineLevel="0" collapsed="false">
      <c r="A67" s="10" t="s">
        <v>186</v>
      </c>
      <c r="B67" s="10" t="s">
        <v>154</v>
      </c>
      <c r="C67" s="10" t="n">
        <v>2001</v>
      </c>
      <c r="D67" s="10" t="s">
        <v>88</v>
      </c>
      <c r="E67" s="10" t="s">
        <v>122</v>
      </c>
      <c r="F67" s="10" t="s">
        <v>57</v>
      </c>
      <c r="G67" s="10" t="s">
        <v>167</v>
      </c>
      <c r="H67" s="10" t="n">
        <v>1.59</v>
      </c>
      <c r="I67" s="10" t="n">
        <v>10.88</v>
      </c>
      <c r="J67" s="10" t="s">
        <v>59</v>
      </c>
      <c r="K67" s="11" t="n">
        <v>1.06</v>
      </c>
      <c r="L67" s="11" t="n">
        <v>0.42</v>
      </c>
      <c r="M67" s="11" t="n">
        <v>2.68</v>
      </c>
      <c r="N67" s="12" t="n">
        <f aca="false">LN(K67)</f>
        <v>0.0582689081239758</v>
      </c>
      <c r="O67" s="12" t="n">
        <f aca="false">(LN(M67)-LN(L67))/(2*1.959964)</f>
        <v>0.472793725350947</v>
      </c>
      <c r="P67" s="12" t="n">
        <f aca="false">IF(O67&gt;0,1/O67^2,0)</f>
        <v>4.47359425074775</v>
      </c>
      <c r="Q67" s="13" t="n">
        <v>1</v>
      </c>
      <c r="R67" s="13" t="n">
        <v>0</v>
      </c>
      <c r="S67" s="12" t="n">
        <f aca="false">IF(Q67=1,1/(O67^2+$Z$68),0)</f>
        <v>2.82267973359624</v>
      </c>
      <c r="T67" s="12" t="n">
        <f aca="false">IF(R67=1,1/(O67^2+$Z$69),0)</f>
        <v>0</v>
      </c>
      <c r="U67" s="14" t="s">
        <v>194</v>
      </c>
    </row>
    <row r="68" customFormat="false" ht="15" hidden="false" customHeight="false" outlineLevel="0" collapsed="false">
      <c r="A68" s="15"/>
      <c r="B68" s="15" t="s">
        <v>101</v>
      </c>
      <c r="C68" s="15"/>
      <c r="D68" s="15"/>
      <c r="E68" s="15"/>
      <c r="F68" s="15"/>
      <c r="G68" s="15"/>
      <c r="H68" s="15"/>
      <c r="I68" s="15"/>
      <c r="J68" s="15" t="s">
        <v>102</v>
      </c>
      <c r="K68" s="16" t="n">
        <f aca="false">IF(V68&gt;0,EXP(AB68),"")</f>
        <v>1.18955754478195</v>
      </c>
      <c r="L68" s="16" t="n">
        <f aca="false">IF(V68&gt;0,EXP(AB68-1.959964*AC68),"")</f>
        <v>0.720802515170895</v>
      </c>
      <c r="M68" s="16" t="n">
        <f aca="false">IF(V68&gt;0,EXP(AB68+1.959964*AC68),"")</f>
        <v>1.96315512580054</v>
      </c>
      <c r="N68" s="15"/>
      <c r="O68" s="15"/>
      <c r="P68" s="15"/>
      <c r="Q68" s="15"/>
      <c r="R68" s="15"/>
      <c r="S68" s="15"/>
      <c r="T68" s="15"/>
      <c r="U68" s="15"/>
      <c r="V68" s="15" t="n">
        <f aca="false">SUM($Q$64:$Q$67)</f>
        <v>4</v>
      </c>
      <c r="W68" s="16" t="n">
        <f aca="false">IF(V68&gt;0,SUMPRODUCT($Q$64:$Q$67,$P$64:$P$67,$N$64:$N$67)/SUMPRODUCT($Q$64:$Q$67,$P$64:$P$67),0)</f>
        <v>0.139766068010161</v>
      </c>
      <c r="X68" s="16" t="n">
        <f aca="false">IF(V68&gt;1,SUMPRODUCT($Q$64:$Q$67,$P$64:$P$67,($N$64:$N$67-W68)^2),0)</f>
        <v>6.17187930527271</v>
      </c>
      <c r="Y68" s="16" t="n">
        <f aca="false">IF(V68&gt;1,SUMPRODUCT($Q$64:$Q$67,$P$64:$P$67)-SUMPRODUCT($Q$64:$Q$67,$P$64:$P$67,$P$64:$P$67)/SUMPRODUCT($Q$64:$Q$67,$P$64:$P$67),0)</f>
        <v>24.2610874703069</v>
      </c>
      <c r="Z68" s="16" t="n">
        <f aca="false">IF(Y68&gt;0,MAX(0,(X68-(V68-1))/Y68),0)</f>
        <v>0.130739370572517</v>
      </c>
      <c r="AA68" s="17" t="n">
        <f aca="false">IF(AND(V68&gt;1,X68&gt;0),MAX(0,(X68-(V68-1))/X68),0)</f>
        <v>0.513924389701356</v>
      </c>
      <c r="AB68" s="16" t="n">
        <f aca="false">IF(SUM($S$64:$S$67)&gt;0,SUMPRODUCT($S$64:$S$67,$N$64:$N$67)/SUM($S$64:$S$67),0)</f>
        <v>0.173581426876947</v>
      </c>
      <c r="AC68" s="16" t="n">
        <f aca="false">IF(SUM($S$64:$S$67)&gt;0,SQRT(1/SUM($S$64:$S$67)),0)</f>
        <v>0.255602404000922</v>
      </c>
    </row>
    <row r="69" customFormat="false" ht="15" hidden="false" customHeight="false" outlineLevel="0" collapsed="false">
      <c r="A69" s="15"/>
      <c r="B69" s="15" t="s">
        <v>103</v>
      </c>
      <c r="C69" s="15"/>
      <c r="D69" s="15"/>
      <c r="E69" s="15"/>
      <c r="F69" s="15"/>
      <c r="G69" s="15"/>
      <c r="H69" s="15"/>
      <c r="I69" s="15"/>
      <c r="J69" s="15" t="s">
        <v>102</v>
      </c>
      <c r="K69" s="16" t="n">
        <f aca="false">IF(V69&gt;0,EXP(AB69),"")</f>
        <v>1.22429592953552</v>
      </c>
      <c r="L69" s="16" t="n">
        <f aca="false">IF(V69&gt;0,EXP(AB69-1.959964*AC69),"")</f>
        <v>0.634742160224685</v>
      </c>
      <c r="M69" s="16" t="n">
        <f aca="false">IF(V69&gt;0,EXP(AB69+1.959964*AC69),"")</f>
        <v>2.36143211685617</v>
      </c>
      <c r="N69" s="15"/>
      <c r="O69" s="15"/>
      <c r="P69" s="15"/>
      <c r="Q69" s="15"/>
      <c r="R69" s="15"/>
      <c r="S69" s="15"/>
      <c r="T69" s="15"/>
      <c r="U69" s="15"/>
      <c r="V69" s="15" t="n">
        <f aca="false">SUM($R$64:$R$67)</f>
        <v>3</v>
      </c>
      <c r="W69" s="16" t="n">
        <f aca="false">IF(V69&gt;0,SUMPRODUCT($R$64:$R$67,$P$64:$P$67,$N$64:$N$67)/SUMPRODUCT($R$64:$R$67,$P$64:$P$67),0)</f>
        <v>0.150769193682066</v>
      </c>
      <c r="X69" s="16" t="n">
        <f aca="false">IF(V69&gt;1,SUMPRODUCT($R$64:$R$67,$P$64:$P$67,($N$64:$N$67-W69)^2),0)</f>
        <v>6.13815506776493</v>
      </c>
      <c r="Y69" s="16" t="n">
        <f aca="false">IF(V69&gt;1,SUMPRODUCT($R$64:$R$67,$P$64:$P$67)-SUMPRODUCT($R$64:$R$67,$P$64:$P$67,$P$64:$P$67)/SUMPRODUCT($R$64:$R$67,$P$64:$P$67),0)</f>
        <v>18.5894461749432</v>
      </c>
      <c r="Z69" s="16" t="n">
        <f aca="false">IF(Y69&gt;0,MAX(0,(X69-(V69-1))/Y69),0)</f>
        <v>0.222607765116896</v>
      </c>
      <c r="AA69" s="17" t="n">
        <f aca="false">IF(AND(V69&gt;1,X69&gt;0),MAX(0,(X69-(V69-1))/X69),0)</f>
        <v>0.674169196131395</v>
      </c>
      <c r="AB69" s="16" t="n">
        <f aca="false">IF(SUM($T$64:$T$67)&gt;0,SUMPRODUCT($T$64:$T$67,$N$64:$N$67)/SUM($T$64:$T$67),0)</f>
        <v>0.202365927364211</v>
      </c>
      <c r="AC69" s="16" t="n">
        <f aca="false">IF(SUM($T$64:$T$67)&gt;0,SQRT(1/SUM($T$64:$T$67)),0)</f>
        <v>0.335160409478581</v>
      </c>
    </row>
    <row r="71" customFormat="false" ht="15" hidden="false" customHeight="false" outlineLevel="0" collapsed="false">
      <c r="A71" s="8" t="s">
        <v>195</v>
      </c>
      <c r="B71" s="9"/>
      <c r="C71" s="9"/>
      <c r="D71" s="9"/>
      <c r="E71" s="9"/>
      <c r="F71" s="9"/>
      <c r="G71" s="9"/>
      <c r="H71" s="9"/>
      <c r="I71" s="9"/>
      <c r="J71" s="9"/>
      <c r="K71" s="9"/>
      <c r="L71" s="9"/>
      <c r="M71" s="9"/>
      <c r="N71" s="9"/>
      <c r="O71" s="9"/>
      <c r="P71" s="9"/>
      <c r="Q71" s="9"/>
      <c r="R71" s="9"/>
      <c r="S71" s="9"/>
      <c r="T71" s="9"/>
      <c r="U71" s="9"/>
    </row>
    <row r="72" customFormat="false" ht="15" hidden="false" customHeight="false" outlineLevel="0" collapsed="false">
      <c r="A72" s="10" t="s">
        <v>195</v>
      </c>
      <c r="B72" s="10" t="s">
        <v>54</v>
      </c>
      <c r="C72" s="10" t="n">
        <v>1998</v>
      </c>
      <c r="D72" s="10" t="s">
        <v>55</v>
      </c>
      <c r="E72" s="10" t="s">
        <v>56</v>
      </c>
      <c r="F72" s="10" t="s">
        <v>57</v>
      </c>
      <c r="G72" s="10" t="s">
        <v>58</v>
      </c>
      <c r="H72" s="10" t="n">
        <v>2.4</v>
      </c>
      <c r="I72" s="10" t="n">
        <v>29.8</v>
      </c>
      <c r="J72" s="10" t="s">
        <v>59</v>
      </c>
      <c r="K72" s="11" t="n">
        <v>1.2</v>
      </c>
      <c r="L72" s="11" t="n">
        <v>1.08</v>
      </c>
      <c r="M72" s="11" t="n">
        <v>1.33</v>
      </c>
      <c r="N72" s="12" t="n">
        <f aca="false">LN(K72)</f>
        <v>0.182321556793955</v>
      </c>
      <c r="O72" s="12" t="n">
        <f aca="false">(LN(M72)-LN(L72))/(2*1.959964)</f>
        <v>0.053117787137298</v>
      </c>
      <c r="P72" s="12" t="n">
        <f aca="false">IF(O72&gt;0,1/O72^2,0)</f>
        <v>354.4214936814</v>
      </c>
      <c r="Q72" s="13" t="n">
        <v>0</v>
      </c>
      <c r="R72" s="13" t="n">
        <v>0</v>
      </c>
      <c r="S72" s="12" t="n">
        <f aca="false">IF(Q72=1,1/(O72^2+$Z$81),0)</f>
        <v>0</v>
      </c>
      <c r="T72" s="12" t="n">
        <f aca="false">IF(R72=1,1/(O72^2+$Z$82),0)</f>
        <v>0</v>
      </c>
      <c r="U72" s="14"/>
    </row>
    <row r="73" customFormat="false" ht="15" hidden="false" customHeight="false" outlineLevel="0" collapsed="false">
      <c r="A73" s="10" t="s">
        <v>195</v>
      </c>
      <c r="B73" s="10" t="s">
        <v>196</v>
      </c>
      <c r="C73" s="10" t="n">
        <v>1993</v>
      </c>
      <c r="D73" s="10" t="s">
        <v>62</v>
      </c>
      <c r="E73" s="10" t="s">
        <v>190</v>
      </c>
      <c r="F73" s="10" t="s">
        <v>64</v>
      </c>
      <c r="G73" s="10" t="s">
        <v>197</v>
      </c>
      <c r="H73" s="10"/>
      <c r="I73" s="10"/>
      <c r="J73" s="10" t="s">
        <v>59</v>
      </c>
      <c r="K73" s="11" t="n">
        <v>0.1</v>
      </c>
      <c r="L73" s="11" t="n">
        <v>0.001</v>
      </c>
      <c r="M73" s="11" t="n">
        <v>1</v>
      </c>
      <c r="N73" s="12" t="n">
        <f aca="false">LN(K73)</f>
        <v>-2.30258509299405</v>
      </c>
      <c r="O73" s="12" t="n">
        <f aca="false">(LN(M73)-LN(L73))/(2*1.959964)</f>
        <v>1.76221483633938</v>
      </c>
      <c r="P73" s="12" t="n">
        <f aca="false">IF(O73&gt;0,1/O73^2,0)</f>
        <v>0.322019590489589</v>
      </c>
      <c r="Q73" s="13" t="n">
        <v>1</v>
      </c>
      <c r="R73" s="13" t="n">
        <v>1</v>
      </c>
      <c r="S73" s="12" t="n">
        <f aca="false">IF(Q73=1,1/(O73^2+$Z$81),0)</f>
        <v>0.321630766362769</v>
      </c>
      <c r="T73" s="12" t="n">
        <f aca="false">IF(R73=1,1/(O73^2+$Z$82),0)</f>
        <v>0.321630766362769</v>
      </c>
      <c r="U73" s="14" t="s">
        <v>198</v>
      </c>
    </row>
    <row r="74" customFormat="false" ht="15" hidden="false" customHeight="false" outlineLevel="0" collapsed="false">
      <c r="A74" s="10" t="s">
        <v>195</v>
      </c>
      <c r="B74" s="10" t="s">
        <v>199</v>
      </c>
      <c r="C74" s="10" t="n">
        <v>2011</v>
      </c>
      <c r="D74" s="10" t="s">
        <v>62</v>
      </c>
      <c r="E74" s="10" t="s">
        <v>63</v>
      </c>
      <c r="F74" s="10" t="s">
        <v>64</v>
      </c>
      <c r="G74" s="10" t="s">
        <v>200</v>
      </c>
      <c r="H74" s="10"/>
      <c r="I74" s="10"/>
      <c r="J74" s="10" t="s">
        <v>66</v>
      </c>
      <c r="K74" s="11" t="n">
        <v>1.04</v>
      </c>
      <c r="L74" s="11" t="n">
        <v>0.85</v>
      </c>
      <c r="M74" s="11" t="n">
        <v>1.27</v>
      </c>
      <c r="N74" s="12" t="n">
        <f aca="false">LN(K74)</f>
        <v>0.0392207131532813</v>
      </c>
      <c r="O74" s="12" t="n">
        <f aca="false">(LN(M74)-LN(L74))/(2*1.959964)</f>
        <v>0.102434491135622</v>
      </c>
      <c r="P74" s="12" t="n">
        <f aca="false">IF(O74&gt;0,1/O74^2,0)</f>
        <v>95.3032193386923</v>
      </c>
      <c r="Q74" s="13" t="n">
        <v>1</v>
      </c>
      <c r="R74" s="13" t="n">
        <v>1</v>
      </c>
      <c r="S74" s="12" t="n">
        <f aca="false">IF(Q74=1,1/(O74^2+$Z$81),0)</f>
        <v>70.190266155715</v>
      </c>
      <c r="T74" s="12" t="n">
        <f aca="false">IF(R74=1,1/(O74^2+$Z$82),0)</f>
        <v>70.190266155715</v>
      </c>
      <c r="U74" s="14" t="s">
        <v>201</v>
      </c>
    </row>
    <row r="75" customFormat="false" ht="15" hidden="false" customHeight="false" outlineLevel="0" collapsed="false">
      <c r="A75" s="10" t="s">
        <v>195</v>
      </c>
      <c r="B75" s="10" t="s">
        <v>202</v>
      </c>
      <c r="C75" s="10" t="n">
        <v>2001</v>
      </c>
      <c r="D75" s="10" t="s">
        <v>62</v>
      </c>
      <c r="E75" s="10" t="s">
        <v>203</v>
      </c>
      <c r="F75" s="10" t="s">
        <v>57</v>
      </c>
      <c r="G75" s="10" t="s">
        <v>204</v>
      </c>
      <c r="H75" s="10"/>
      <c r="I75" s="10" t="n">
        <v>75</v>
      </c>
      <c r="J75" s="10" t="s">
        <v>66</v>
      </c>
      <c r="K75" s="11" t="n">
        <v>1.4</v>
      </c>
      <c r="L75" s="11" t="n">
        <v>0.1</v>
      </c>
      <c r="M75" s="11" t="n">
        <v>15</v>
      </c>
      <c r="N75" s="12" t="n">
        <f aca="false">LN(K75)</f>
        <v>0.336472236621213</v>
      </c>
      <c r="O75" s="12" t="n">
        <f aca="false">(LN(M75)-LN(L75))/(2*1.959964)</f>
        <v>1.27824676731212</v>
      </c>
      <c r="P75" s="12" t="n">
        <f aca="false">IF(O75&gt;0,1/O75^2,0)</f>
        <v>0.612027017036626</v>
      </c>
      <c r="Q75" s="13" t="n">
        <v>1</v>
      </c>
      <c r="R75" s="13" t="n">
        <v>1</v>
      </c>
      <c r="S75" s="12" t="n">
        <f aca="false">IF(Q75=1,1/(O75^2+$Z$81),0)</f>
        <v>0.610624016613634</v>
      </c>
      <c r="T75" s="12" t="n">
        <f aca="false">IF(R75=1,1/(O75^2+$Z$82),0)</f>
        <v>0.610624016613634</v>
      </c>
      <c r="U75" s="14"/>
    </row>
    <row r="76" customFormat="false" ht="15" hidden="false" customHeight="false" outlineLevel="0" collapsed="false">
      <c r="A76" s="10" t="s">
        <v>195</v>
      </c>
      <c r="B76" s="10" t="s">
        <v>202</v>
      </c>
      <c r="C76" s="10" t="n">
        <v>2004</v>
      </c>
      <c r="D76" s="10" t="s">
        <v>62</v>
      </c>
      <c r="E76" s="10" t="s">
        <v>205</v>
      </c>
      <c r="F76" s="10" t="s">
        <v>57</v>
      </c>
      <c r="G76" s="10" t="s">
        <v>206</v>
      </c>
      <c r="H76" s="10"/>
      <c r="I76" s="10" t="n">
        <v>50</v>
      </c>
      <c r="J76" s="10" t="s">
        <v>66</v>
      </c>
      <c r="K76" s="11" t="n">
        <v>0.8</v>
      </c>
      <c r="L76" s="11" t="n">
        <v>0.4</v>
      </c>
      <c r="M76" s="11" t="n">
        <v>1.5</v>
      </c>
      <c r="N76" s="12" t="n">
        <f aca="false">LN(K76)</f>
        <v>-0.22314355131421</v>
      </c>
      <c r="O76" s="12" t="n">
        <f aca="false">(LN(M76)-LN(L76))/(2*1.959964)</f>
        <v>0.337188805504162</v>
      </c>
      <c r="P76" s="12" t="n">
        <f aca="false">IF(O76&gt;0,1/O76^2,0)</f>
        <v>8.7953617052776</v>
      </c>
      <c r="Q76" s="13" t="n">
        <v>1</v>
      </c>
      <c r="R76" s="13" t="n">
        <v>1</v>
      </c>
      <c r="S76" s="12" t="n">
        <f aca="false">IF(Q76=1,1/(O76^2+$Z$81),0)</f>
        <v>8.51422838220143</v>
      </c>
      <c r="T76" s="12" t="n">
        <f aca="false">IF(R76=1,1/(O76^2+$Z$82),0)</f>
        <v>8.51422838220143</v>
      </c>
      <c r="U76" s="14"/>
    </row>
    <row r="77" customFormat="false" ht="15" hidden="false" customHeight="false" outlineLevel="0" collapsed="false">
      <c r="A77" s="10" t="s">
        <v>195</v>
      </c>
      <c r="B77" s="10" t="s">
        <v>207</v>
      </c>
      <c r="C77" s="10" t="n">
        <v>1994</v>
      </c>
      <c r="D77" s="10" t="s">
        <v>62</v>
      </c>
      <c r="E77" s="10" t="s">
        <v>190</v>
      </c>
      <c r="F77" s="10" t="s">
        <v>64</v>
      </c>
      <c r="G77" s="10" t="s">
        <v>208</v>
      </c>
      <c r="H77" s="10" t="n">
        <v>2</v>
      </c>
      <c r="I77" s="10" t="n">
        <v>25.2</v>
      </c>
      <c r="J77" s="10" t="s">
        <v>59</v>
      </c>
      <c r="K77" s="11" t="n">
        <v>1</v>
      </c>
      <c r="L77" s="11" t="n">
        <v>0.61</v>
      </c>
      <c r="M77" s="11" t="n">
        <v>1.64</v>
      </c>
      <c r="N77" s="12" t="n">
        <f aca="false">LN(K77)</f>
        <v>0</v>
      </c>
      <c r="O77" s="12" t="n">
        <f aca="false">(LN(M77)-LN(L77))/(2*1.959964)</f>
        <v>0.252298655396448</v>
      </c>
      <c r="P77" s="12" t="n">
        <f aca="false">IF(O77&gt;0,1/O77^2,0)</f>
        <v>15.7097808972822</v>
      </c>
      <c r="Q77" s="13" t="n">
        <v>1</v>
      </c>
      <c r="R77" s="13" t="n">
        <v>1</v>
      </c>
      <c r="S77" s="12" t="n">
        <f aca="false">IF(Q77=1,1/(O77^2+$Z$81),0)</f>
        <v>14.8348635823095</v>
      </c>
      <c r="T77" s="12" t="n">
        <f aca="false">IF(R77=1,1/(O77^2+$Z$82),0)</f>
        <v>14.8348635823095</v>
      </c>
      <c r="U77" s="14" t="s">
        <v>209</v>
      </c>
    </row>
    <row r="78" customFormat="false" ht="15" hidden="false" customHeight="false" outlineLevel="0" collapsed="false">
      <c r="A78" s="10" t="s">
        <v>195</v>
      </c>
      <c r="B78" s="10" t="s">
        <v>210</v>
      </c>
      <c r="C78" s="10" t="n">
        <v>2005</v>
      </c>
      <c r="D78" s="10" t="s">
        <v>55</v>
      </c>
      <c r="E78" s="10" t="s">
        <v>211</v>
      </c>
      <c r="F78" s="10" t="s">
        <v>212</v>
      </c>
      <c r="G78" s="10" t="s">
        <v>213</v>
      </c>
      <c r="H78" s="10"/>
      <c r="I78" s="10"/>
      <c r="J78" s="10" t="s">
        <v>66</v>
      </c>
      <c r="K78" s="11" t="n">
        <v>1.23</v>
      </c>
      <c r="L78" s="11" t="n">
        <v>0.86</v>
      </c>
      <c r="M78" s="11" t="n">
        <v>1.75</v>
      </c>
      <c r="N78" s="12" t="n">
        <f aca="false">LN(K78)</f>
        <v>0.207014169384326</v>
      </c>
      <c r="O78" s="12" t="n">
        <f aca="false">(LN(M78)-LN(L78))/(2*1.959964)</f>
        <v>0.181237685403917</v>
      </c>
      <c r="P78" s="12" t="n">
        <f aca="false">IF(O78&gt;0,1/O78^2,0)</f>
        <v>30.4440891981318</v>
      </c>
      <c r="Q78" s="13" t="n">
        <v>0</v>
      </c>
      <c r="R78" s="13" t="n">
        <v>0</v>
      </c>
      <c r="S78" s="12" t="n">
        <f aca="false">IF(Q78=1,1/(O78^2+$Z$81),0)</f>
        <v>0</v>
      </c>
      <c r="T78" s="12" t="n">
        <f aca="false">IF(R78=1,1/(O78^2+$Z$82),0)</f>
        <v>0</v>
      </c>
      <c r="U78" s="14" t="s">
        <v>214</v>
      </c>
    </row>
    <row r="79" customFormat="false" ht="15" hidden="false" customHeight="false" outlineLevel="0" collapsed="false">
      <c r="A79" s="10" t="s">
        <v>195</v>
      </c>
      <c r="B79" s="10" t="s">
        <v>93</v>
      </c>
      <c r="C79" s="10" t="n">
        <v>2005</v>
      </c>
      <c r="D79" s="10" t="s">
        <v>62</v>
      </c>
      <c r="E79" s="10" t="s">
        <v>94</v>
      </c>
      <c r="F79" s="10" t="s">
        <v>57</v>
      </c>
      <c r="G79" s="10" t="s">
        <v>215</v>
      </c>
      <c r="H79" s="10" t="n">
        <v>10.53</v>
      </c>
      <c r="I79" s="10" t="n">
        <v>19.11</v>
      </c>
      <c r="J79" s="10" t="s">
        <v>66</v>
      </c>
      <c r="K79" s="11" t="n">
        <v>1.3</v>
      </c>
      <c r="L79" s="11" t="n">
        <v>0.7</v>
      </c>
      <c r="M79" s="11" t="n">
        <v>2.6</v>
      </c>
      <c r="N79" s="12" t="n">
        <f aca="false">LN(K79)</f>
        <v>0.262364264467491</v>
      </c>
      <c r="O79" s="12" t="n">
        <f aca="false">(LN(M79)-LN(L79))/(2*1.959964)</f>
        <v>0.334747574181508</v>
      </c>
      <c r="P79" s="12" t="n">
        <f aca="false">IF(O79&gt;0,1/O79^2,0)</f>
        <v>8.92411427806947</v>
      </c>
      <c r="Q79" s="13" t="n">
        <v>1</v>
      </c>
      <c r="R79" s="13" t="n">
        <v>1</v>
      </c>
      <c r="S79" s="12" t="n">
        <f aca="false">IF(Q79=1,1/(O79^2+$Z$81),0)</f>
        <v>8.634825224271</v>
      </c>
      <c r="T79" s="12" t="n">
        <f aca="false">IF(R79=1,1/(O79^2+$Z$82),0)</f>
        <v>8.634825224271</v>
      </c>
      <c r="U79" s="14"/>
    </row>
    <row r="80" customFormat="false" ht="15" hidden="false" customHeight="false" outlineLevel="0" collapsed="false">
      <c r="A80" s="10" t="s">
        <v>195</v>
      </c>
      <c r="B80" s="10" t="s">
        <v>216</v>
      </c>
      <c r="C80" s="10" t="n">
        <v>2011</v>
      </c>
      <c r="D80" s="10" t="s">
        <v>62</v>
      </c>
      <c r="E80" s="10" t="s">
        <v>63</v>
      </c>
      <c r="F80" s="10" t="s">
        <v>64</v>
      </c>
      <c r="G80" s="10" t="s">
        <v>200</v>
      </c>
      <c r="H80" s="10"/>
      <c r="I80" s="10"/>
      <c r="J80" s="10" t="s">
        <v>66</v>
      </c>
      <c r="K80" s="11" t="n">
        <v>1.4</v>
      </c>
      <c r="L80" s="11" t="n">
        <v>1.07</v>
      </c>
      <c r="M80" s="11" t="n">
        <v>1.84</v>
      </c>
      <c r="N80" s="12" t="n">
        <f aca="false">LN(K80)</f>
        <v>0.336472236621213</v>
      </c>
      <c r="O80" s="12" t="n">
        <f aca="false">(LN(M80)-LN(L80))/(2*1.959964)</f>
        <v>0.138295122549975</v>
      </c>
      <c r="P80" s="12" t="n">
        <f aca="false">IF(O80&gt;0,1/O80^2,0)</f>
        <v>52.286102867611</v>
      </c>
      <c r="Q80" s="13" t="n">
        <v>1</v>
      </c>
      <c r="R80" s="13" t="n">
        <v>1</v>
      </c>
      <c r="S80" s="12" t="n">
        <f aca="false">IF(Q80=1,1/(O80^2+$Z$81),0)</f>
        <v>43.706855970343</v>
      </c>
      <c r="T80" s="12" t="n">
        <f aca="false">IF(R80=1,1/(O80^2+$Z$82),0)</f>
        <v>43.706855970343</v>
      </c>
      <c r="U80" s="14" t="s">
        <v>214</v>
      </c>
    </row>
    <row r="81" customFormat="false" ht="15" hidden="false" customHeight="false" outlineLevel="0" collapsed="false">
      <c r="A81" s="15"/>
      <c r="B81" s="15" t="s">
        <v>101</v>
      </c>
      <c r="C81" s="15"/>
      <c r="D81" s="15"/>
      <c r="E81" s="15"/>
      <c r="F81" s="15"/>
      <c r="G81" s="15"/>
      <c r="H81" s="15"/>
      <c r="I81" s="15"/>
      <c r="J81" s="15" t="s">
        <v>102</v>
      </c>
      <c r="K81" s="16" t="n">
        <f aca="false">IF(V81&gt;0,EXP(AB81),"")</f>
        <v>1.12498000531963</v>
      </c>
      <c r="L81" s="16" t="n">
        <f aca="false">IF(V81&gt;0,EXP(AB81-1.959964*AC81),"")</f>
        <v>0.956961037690141</v>
      </c>
      <c r="M81" s="16" t="n">
        <f aca="false">IF(V81&gt;0,EXP(AB81+1.959964*AC81),"")</f>
        <v>1.32249899684917</v>
      </c>
      <c r="N81" s="15"/>
      <c r="O81" s="15"/>
      <c r="P81" s="15"/>
      <c r="Q81" s="15"/>
      <c r="R81" s="15"/>
      <c r="S81" s="15"/>
      <c r="T81" s="15"/>
      <c r="U81" s="15"/>
      <c r="V81" s="15" t="n">
        <f aca="false">SUM($Q$72:$Q$80)</f>
        <v>7</v>
      </c>
      <c r="W81" s="16" t="n">
        <f aca="false">IF(V81&gt;0,SUMPRODUCT($Q$72:$Q$80,$P$72:$P$80,$N$72:$N$80)/SUMPRODUCT($Q$72:$Q$80,$P$72:$P$80),0)</f>
        <v>0.116370264769124</v>
      </c>
      <c r="X81" s="16" t="n">
        <f aca="false">IF(V81&gt;1,SUMPRODUCT($Q$72:$Q$80,$P$72:$P$80,($N$72:$N$80-W81)^2),0)</f>
        <v>6.43093236355541</v>
      </c>
      <c r="Y81" s="16" t="n">
        <f aca="false">IF(V81&gt;1,SUMPRODUCT($Q$72:$Q$80,$P$72:$P$80)-SUMPRODUCT($Q$72:$Q$80,$P$72:$P$80,$P$72:$P$80)/SUMPRODUCT($Q$72:$Q$80,$P$72:$P$80),0)</f>
        <v>114.787813889959</v>
      </c>
      <c r="Z81" s="16" t="n">
        <f aca="false">IF(Y81&gt;0,MAX(0,(X81-(V81-1))/Y81),0)</f>
        <v>0.00375416474059273</v>
      </c>
      <c r="AA81" s="17" t="n">
        <f aca="false">IF(AND(V81&gt;1,X81&gt;0),MAX(0,(X81-(V81-1))/X81),0)</f>
        <v>0.0670093136101902</v>
      </c>
      <c r="AB81" s="16" t="n">
        <f aca="false">IF(SUM($S$72:$S$80)&gt;0,SUMPRODUCT($S$72:$S$80,$N$72:$N$80)/SUM($S$72:$S$80),0)</f>
        <v>0.117765262449223</v>
      </c>
      <c r="AC81" s="16" t="n">
        <f aca="false">IF(SUM($S$72:$S$80)&gt;0,SQRT(1/SUM($S$72:$S$80)),0)</f>
        <v>0.0825310382102228</v>
      </c>
    </row>
    <row r="82" customFormat="false" ht="15" hidden="false" customHeight="false" outlineLevel="0" collapsed="false">
      <c r="A82" s="15"/>
      <c r="B82" s="15" t="s">
        <v>103</v>
      </c>
      <c r="C82" s="15"/>
      <c r="D82" s="15"/>
      <c r="E82" s="15"/>
      <c r="F82" s="15"/>
      <c r="G82" s="15"/>
      <c r="H82" s="15"/>
      <c r="I82" s="15"/>
      <c r="J82" s="15" t="s">
        <v>102</v>
      </c>
      <c r="K82" s="16" t="n">
        <f aca="false">IF(V82&gt;0,EXP(AB82),"")</f>
        <v>1.12498000531963</v>
      </c>
      <c r="L82" s="16" t="n">
        <f aca="false">IF(V82&gt;0,EXP(AB82-1.959964*AC82),"")</f>
        <v>0.956961037690141</v>
      </c>
      <c r="M82" s="16" t="n">
        <f aca="false">IF(V82&gt;0,EXP(AB82+1.959964*AC82),"")</f>
        <v>1.32249899684917</v>
      </c>
      <c r="N82" s="15"/>
      <c r="O82" s="15"/>
      <c r="P82" s="15"/>
      <c r="Q82" s="15"/>
      <c r="R82" s="15"/>
      <c r="S82" s="15"/>
      <c r="T82" s="15"/>
      <c r="U82" s="15"/>
      <c r="V82" s="15" t="n">
        <f aca="false">SUM($R$72:$R$80)</f>
        <v>7</v>
      </c>
      <c r="W82" s="16" t="n">
        <f aca="false">IF(V82&gt;0,SUMPRODUCT($R$72:$R$80,$P$72:$P$80,$N$72:$N$80)/SUMPRODUCT($R$72:$R$80,$P$72:$P$80),0)</f>
        <v>0.116370264769124</v>
      </c>
      <c r="X82" s="16" t="n">
        <f aca="false">IF(V82&gt;1,SUMPRODUCT($R$72:$R$80,$P$72:$P$80,($N$72:$N$80-W82)^2),0)</f>
        <v>6.43093236355541</v>
      </c>
      <c r="Y82" s="16" t="n">
        <f aca="false">IF(V82&gt;1,SUMPRODUCT($R$72:$R$80,$P$72:$P$80)-SUMPRODUCT($R$72:$R$80,$P$72:$P$80,$P$72:$P$80)/SUMPRODUCT($R$72:$R$80,$P$72:$P$80),0)</f>
        <v>114.787813889959</v>
      </c>
      <c r="Z82" s="16" t="n">
        <f aca="false">IF(Y82&gt;0,MAX(0,(X82-(V82-1))/Y82),0)</f>
        <v>0.00375416474059273</v>
      </c>
      <c r="AA82" s="17" t="n">
        <f aca="false">IF(AND(V82&gt;1,X82&gt;0),MAX(0,(X82-(V82-1))/X82),0)</f>
        <v>0.0670093136101902</v>
      </c>
      <c r="AB82" s="16" t="n">
        <f aca="false">IF(SUM($T$72:$T$80)&gt;0,SUMPRODUCT($T$72:$T$80,$N$72:$N$80)/SUM($T$72:$T$80),0)</f>
        <v>0.117765262449223</v>
      </c>
      <c r="AC82" s="16" t="n">
        <f aca="false">IF(SUM($T$72:$T$80)&gt;0,SQRT(1/SUM($T$72:$T$80)),0)</f>
        <v>0.0825310382102228</v>
      </c>
    </row>
    <row r="84" customFormat="false" ht="15" hidden="false" customHeight="false" outlineLevel="0" collapsed="false">
      <c r="A84" s="8" t="s">
        <v>217</v>
      </c>
      <c r="B84" s="9"/>
      <c r="C84" s="9"/>
      <c r="D84" s="9"/>
      <c r="E84" s="9"/>
      <c r="F84" s="9"/>
      <c r="G84" s="9"/>
      <c r="H84" s="9"/>
      <c r="I84" s="9"/>
      <c r="J84" s="9"/>
      <c r="K84" s="9"/>
      <c r="L84" s="9"/>
      <c r="M84" s="9"/>
      <c r="N84" s="9"/>
      <c r="O84" s="9"/>
      <c r="P84" s="9"/>
      <c r="Q84" s="9"/>
      <c r="R84" s="9"/>
      <c r="S84" s="9"/>
      <c r="T84" s="9"/>
      <c r="U84" s="9"/>
    </row>
    <row r="85" customFormat="false" ht="15" hidden="false" customHeight="false" outlineLevel="0" collapsed="false">
      <c r="A85" s="10" t="s">
        <v>217</v>
      </c>
      <c r="B85" s="10" t="s">
        <v>114</v>
      </c>
      <c r="C85" s="10" t="n">
        <v>2010</v>
      </c>
      <c r="D85" s="10" t="s">
        <v>62</v>
      </c>
      <c r="E85" s="10" t="s">
        <v>63</v>
      </c>
      <c r="F85" s="10" t="s">
        <v>64</v>
      </c>
      <c r="G85" s="10" t="s">
        <v>166</v>
      </c>
      <c r="H85" s="10" t="n">
        <v>0.8</v>
      </c>
      <c r="I85" s="10" t="n">
        <v>7.38</v>
      </c>
      <c r="J85" s="10" t="s">
        <v>66</v>
      </c>
      <c r="K85" s="11" t="n">
        <v>1.05</v>
      </c>
      <c r="L85" s="11" t="n">
        <v>0.89</v>
      </c>
      <c r="M85" s="11" t="n">
        <v>1.24</v>
      </c>
      <c r="N85" s="12" t="n">
        <f aca="false">LN(K85)</f>
        <v>0.0487901641694321</v>
      </c>
      <c r="O85" s="12" t="n">
        <f aca="false">(LN(M85)-LN(L85))/(2*1.959964)</f>
        <v>0.0846049202620296</v>
      </c>
      <c r="P85" s="12" t="n">
        <f aca="false">IF(O85&gt;0,1/O85^2,0)</f>
        <v>139.703973628559</v>
      </c>
      <c r="Q85" s="13" t="n">
        <v>1</v>
      </c>
      <c r="R85" s="13" t="n">
        <v>1</v>
      </c>
      <c r="S85" s="12" t="n">
        <f aca="false">IF(Q85=1,1/(O85^2+$Z$95),0)</f>
        <v>7.70091424698826</v>
      </c>
      <c r="T85" s="12" t="n">
        <f aca="false">IF(R85=1,1/(O85^2+$Z$96),0)</f>
        <v>7.70091424698826</v>
      </c>
      <c r="U85" s="14"/>
    </row>
    <row r="86" customFormat="false" ht="15" hidden="false" customHeight="false" outlineLevel="0" collapsed="false">
      <c r="A86" s="10" t="s">
        <v>217</v>
      </c>
      <c r="B86" s="10" t="s">
        <v>218</v>
      </c>
      <c r="C86" s="10" t="n">
        <v>2003</v>
      </c>
      <c r="D86" s="10" t="s">
        <v>55</v>
      </c>
      <c r="E86" s="10" t="s">
        <v>219</v>
      </c>
      <c r="F86" s="10" t="s">
        <v>64</v>
      </c>
      <c r="G86" s="10" t="s">
        <v>220</v>
      </c>
      <c r="H86" s="10" t="n">
        <v>2</v>
      </c>
      <c r="I86" s="10" t="n">
        <v>20.8</v>
      </c>
      <c r="J86" s="10" t="s">
        <v>221</v>
      </c>
      <c r="K86" s="11" t="n">
        <v>1.32</v>
      </c>
      <c r="L86" s="11" t="n">
        <v>0.88</v>
      </c>
      <c r="M86" s="11" t="n">
        <v>1.97</v>
      </c>
      <c r="N86" s="12" t="n">
        <f aca="false">LN(K86)</f>
        <v>0.27763173659828</v>
      </c>
      <c r="O86" s="12" t="n">
        <f aca="false">(LN(M86)-LN(L86))/(2*1.959964)</f>
        <v>0.205582070451238</v>
      </c>
      <c r="P86" s="12" t="n">
        <f aca="false">IF(O86&gt;0,1/O86^2,0)</f>
        <v>23.6608056795484</v>
      </c>
      <c r="Q86" s="13" t="n">
        <v>0</v>
      </c>
      <c r="R86" s="13" t="n">
        <v>0</v>
      </c>
      <c r="S86" s="12" t="n">
        <f aca="false">IF(Q86=1,1/(O86^2+$Z$95),0)</f>
        <v>0</v>
      </c>
      <c r="T86" s="12" t="n">
        <f aca="false">IF(R86=1,1/(O86^2+$Z$96),0)</f>
        <v>0</v>
      </c>
      <c r="U86" s="14" t="s">
        <v>72</v>
      </c>
    </row>
    <row r="87" customFormat="false" ht="15" hidden="false" customHeight="false" outlineLevel="0" collapsed="false">
      <c r="A87" s="10" t="s">
        <v>217</v>
      </c>
      <c r="B87" s="10" t="s">
        <v>222</v>
      </c>
      <c r="C87" s="10" t="n">
        <v>2000</v>
      </c>
      <c r="D87" s="10" t="s">
        <v>62</v>
      </c>
      <c r="E87" s="10" t="s">
        <v>223</v>
      </c>
      <c r="F87" s="10" t="s">
        <v>57</v>
      </c>
      <c r="G87" s="10" t="s">
        <v>224</v>
      </c>
      <c r="H87" s="10" t="n">
        <v>2.21</v>
      </c>
      <c r="I87" s="10" t="n">
        <v>6.6</v>
      </c>
      <c r="J87" s="10" t="s">
        <v>66</v>
      </c>
      <c r="K87" s="11" t="n">
        <v>0.3</v>
      </c>
      <c r="L87" s="11" t="n">
        <v>0.1</v>
      </c>
      <c r="M87" s="11" t="n">
        <v>0.9</v>
      </c>
      <c r="N87" s="12" t="n">
        <f aca="false">LN(K87)</f>
        <v>-1.20397280432594</v>
      </c>
      <c r="O87" s="12" t="n">
        <f aca="false">(LN(M87)-LN(L87))/(2*1.959964)</f>
        <v>0.560526769199898</v>
      </c>
      <c r="P87" s="12" t="n">
        <f aca="false">IF(O87&gt;0,1/O87^2,0)</f>
        <v>3.18278486168108</v>
      </c>
      <c r="Q87" s="13" t="n">
        <v>1</v>
      </c>
      <c r="R87" s="13" t="n">
        <v>1</v>
      </c>
      <c r="S87" s="12" t="n">
        <f aca="false">IF(Q87=1,1/(O87^2+$Z$95),0)</f>
        <v>2.28892150558173</v>
      </c>
      <c r="T87" s="12" t="n">
        <f aca="false">IF(R87=1,1/(O87^2+$Z$96),0)</f>
        <v>2.28892150558173</v>
      </c>
      <c r="U87" s="14" t="s">
        <v>225</v>
      </c>
    </row>
    <row r="88" customFormat="false" ht="15" hidden="false" customHeight="false" outlineLevel="0" collapsed="false">
      <c r="A88" s="10" t="s">
        <v>217</v>
      </c>
      <c r="B88" s="10" t="s">
        <v>68</v>
      </c>
      <c r="C88" s="10" t="n">
        <v>2002</v>
      </c>
      <c r="D88" s="10" t="s">
        <v>55</v>
      </c>
      <c r="E88" s="10" t="s">
        <v>69</v>
      </c>
      <c r="F88" s="10" t="s">
        <v>64</v>
      </c>
      <c r="G88" s="10" t="s">
        <v>226</v>
      </c>
      <c r="H88" s="10" t="n">
        <v>10</v>
      </c>
      <c r="I88" s="10" t="n">
        <v>20</v>
      </c>
      <c r="J88" s="10" t="s">
        <v>71</v>
      </c>
      <c r="K88" s="11" t="n">
        <v>1.22</v>
      </c>
      <c r="L88" s="11" t="n">
        <v>0.76</v>
      </c>
      <c r="M88" s="11" t="n">
        <v>1.96</v>
      </c>
      <c r="N88" s="12" t="n">
        <f aca="false">LN(K88)</f>
        <v>0.198850858745165</v>
      </c>
      <c r="O88" s="12" t="n">
        <f aca="false">(LN(M88)-LN(L88))/(2*1.959964)</f>
        <v>0.241683346975808</v>
      </c>
      <c r="P88" s="12" t="n">
        <f aca="false">IF(O88&gt;0,1/O88^2,0)</f>
        <v>17.1201098371986</v>
      </c>
      <c r="Q88" s="13" t="n">
        <v>0</v>
      </c>
      <c r="R88" s="13" t="n">
        <v>0</v>
      </c>
      <c r="S88" s="12" t="n">
        <f aca="false">IF(Q88=1,1/(O88^2+$Z$95),0)</f>
        <v>0</v>
      </c>
      <c r="T88" s="12" t="n">
        <f aca="false">IF(R88=1,1/(O88^2+$Z$96),0)</f>
        <v>0</v>
      </c>
      <c r="U88" s="14" t="s">
        <v>72</v>
      </c>
    </row>
    <row r="89" customFormat="false" ht="15" hidden="false" customHeight="false" outlineLevel="0" collapsed="false">
      <c r="A89" s="10" t="s">
        <v>217</v>
      </c>
      <c r="B89" s="10" t="s">
        <v>227</v>
      </c>
      <c r="C89" s="10" t="n">
        <v>1999</v>
      </c>
      <c r="D89" s="10" t="s">
        <v>55</v>
      </c>
      <c r="E89" s="10" t="s">
        <v>56</v>
      </c>
      <c r="F89" s="10" t="s">
        <v>57</v>
      </c>
      <c r="G89" s="10" t="s">
        <v>228</v>
      </c>
      <c r="H89" s="10" t="n">
        <v>3.24</v>
      </c>
      <c r="I89" s="10" t="n">
        <v>14.85</v>
      </c>
      <c r="J89" s="10" t="s">
        <v>221</v>
      </c>
      <c r="K89" s="11" t="n">
        <v>1.21</v>
      </c>
      <c r="L89" s="11" t="n">
        <v>1.04</v>
      </c>
      <c r="M89" s="11" t="n">
        <v>1.41</v>
      </c>
      <c r="N89" s="12" t="n">
        <f aca="false">LN(K89)</f>
        <v>0.19062035960865</v>
      </c>
      <c r="O89" s="12" t="n">
        <f aca="false">(LN(M89)-LN(L89))/(2*1.959964)</f>
        <v>0.0776465769873313</v>
      </c>
      <c r="P89" s="12" t="n">
        <f aca="false">IF(O89&gt;0,1/O89^2,0)</f>
        <v>165.865235762651</v>
      </c>
      <c r="Q89" s="13" t="n">
        <v>0</v>
      </c>
      <c r="R89" s="13" t="n">
        <v>0</v>
      </c>
      <c r="S89" s="12" t="n">
        <f aca="false">IF(Q89=1,1/(O89^2+$Z$95),0)</f>
        <v>0</v>
      </c>
      <c r="T89" s="12" t="n">
        <f aca="false">IF(R89=1,1/(O89^2+$Z$96),0)</f>
        <v>0</v>
      </c>
      <c r="U89" s="14"/>
    </row>
    <row r="90" customFormat="false" ht="15" hidden="false" customHeight="false" outlineLevel="0" collapsed="false">
      <c r="A90" s="10" t="s">
        <v>217</v>
      </c>
      <c r="B90" s="10" t="s">
        <v>229</v>
      </c>
      <c r="C90" s="10" t="n">
        <v>2013</v>
      </c>
      <c r="D90" s="10" t="s">
        <v>62</v>
      </c>
      <c r="E90" s="10" t="s">
        <v>94</v>
      </c>
      <c r="F90" s="10" t="s">
        <v>57</v>
      </c>
      <c r="G90" s="10" t="s">
        <v>200</v>
      </c>
      <c r="H90" s="10"/>
      <c r="I90" s="10"/>
      <c r="J90" s="10" t="s">
        <v>66</v>
      </c>
      <c r="K90" s="11" t="n">
        <v>0.6</v>
      </c>
      <c r="L90" s="11" t="n">
        <v>0.3</v>
      </c>
      <c r="M90" s="11" t="n">
        <v>1.1</v>
      </c>
      <c r="N90" s="12" t="n">
        <f aca="false">LN(K90)</f>
        <v>-0.510825623765991</v>
      </c>
      <c r="O90" s="12" t="n">
        <f aca="false">(LN(M90)-LN(L90))/(2*1.959964)</f>
        <v>0.331455828813759</v>
      </c>
      <c r="P90" s="12" t="n">
        <f aca="false">IF(O90&gt;0,1/O90^2,0)</f>
        <v>9.10224830323598</v>
      </c>
      <c r="Q90" s="13" t="n">
        <v>1</v>
      </c>
      <c r="R90" s="13" t="n">
        <v>1</v>
      </c>
      <c r="S90" s="12" t="n">
        <f aca="false">IF(Q90=1,1/(O90^2+$Z$95),0)</f>
        <v>4.29997141152313</v>
      </c>
      <c r="T90" s="12" t="n">
        <f aca="false">IF(R90=1,1/(O90^2+$Z$96),0)</f>
        <v>4.29997141152313</v>
      </c>
      <c r="U90" s="14" t="s">
        <v>230</v>
      </c>
    </row>
    <row r="91" customFormat="false" ht="15" hidden="false" customHeight="false" outlineLevel="0" collapsed="false">
      <c r="A91" s="10" t="s">
        <v>217</v>
      </c>
      <c r="B91" s="10" t="s">
        <v>210</v>
      </c>
      <c r="C91" s="10" t="n">
        <v>2005</v>
      </c>
      <c r="D91" s="10" t="s">
        <v>55</v>
      </c>
      <c r="E91" s="10" t="s">
        <v>211</v>
      </c>
      <c r="F91" s="10" t="s">
        <v>212</v>
      </c>
      <c r="G91" s="10" t="s">
        <v>213</v>
      </c>
      <c r="H91" s="10"/>
      <c r="I91" s="10"/>
      <c r="J91" s="10" t="s">
        <v>66</v>
      </c>
      <c r="K91" s="11" t="n">
        <v>1.41</v>
      </c>
      <c r="L91" s="11" t="n">
        <v>0.74</v>
      </c>
      <c r="M91" s="11" t="n">
        <v>2.68</v>
      </c>
      <c r="N91" s="12" t="n">
        <f aca="false">LN(K91)</f>
        <v>0.343589704390077</v>
      </c>
      <c r="O91" s="12" t="n">
        <f aca="false">(LN(M91)-LN(L91))/(2*1.959964)</f>
        <v>0.328302429867765</v>
      </c>
      <c r="P91" s="12" t="n">
        <f aca="false">IF(O91&gt;0,1/O91^2,0)</f>
        <v>9.27794525946633</v>
      </c>
      <c r="Q91" s="13" t="n">
        <v>0</v>
      </c>
      <c r="R91" s="13" t="n">
        <v>0</v>
      </c>
      <c r="S91" s="12" t="n">
        <f aca="false">IF(Q91=1,1/(O91^2+$Z$95),0)</f>
        <v>0</v>
      </c>
      <c r="T91" s="12" t="n">
        <f aca="false">IF(R91=1,1/(O91^2+$Z$96),0)</f>
        <v>0</v>
      </c>
      <c r="U91" s="14" t="s">
        <v>214</v>
      </c>
    </row>
    <row r="92" customFormat="false" ht="15" hidden="false" customHeight="false" outlineLevel="0" collapsed="false">
      <c r="A92" s="10" t="s">
        <v>217</v>
      </c>
      <c r="B92" s="10" t="s">
        <v>93</v>
      </c>
      <c r="C92" s="10" t="n">
        <v>1996</v>
      </c>
      <c r="D92" s="10" t="s">
        <v>62</v>
      </c>
      <c r="E92" s="10" t="s">
        <v>94</v>
      </c>
      <c r="F92" s="10" t="s">
        <v>57</v>
      </c>
      <c r="G92" s="10" t="s">
        <v>231</v>
      </c>
      <c r="H92" s="10" t="n">
        <v>7.08</v>
      </c>
      <c r="I92" s="10" t="n">
        <v>17.69</v>
      </c>
      <c r="J92" s="10" t="s">
        <v>66</v>
      </c>
      <c r="K92" s="11" t="n">
        <v>2</v>
      </c>
      <c r="L92" s="11" t="n">
        <v>1.1</v>
      </c>
      <c r="M92" s="11" t="n">
        <v>3.6</v>
      </c>
      <c r="N92" s="12" t="n">
        <f aca="false">LN(K92)</f>
        <v>0.693147180559945</v>
      </c>
      <c r="O92" s="12" t="n">
        <f aca="false">(LN(M92)-LN(L92))/(2*1.959964)</f>
        <v>0.302460572147687</v>
      </c>
      <c r="P92" s="12" t="n">
        <f aca="false">IF(O92&gt;0,1/O92^2,0)</f>
        <v>10.9310646102283</v>
      </c>
      <c r="Q92" s="13" t="n">
        <v>1</v>
      </c>
      <c r="R92" s="13" t="n">
        <v>1</v>
      </c>
      <c r="S92" s="12" t="n">
        <f aca="false">IF(Q92=1,1/(O92^2+$Z$95),0)</f>
        <v>4.66898927507527</v>
      </c>
      <c r="T92" s="12" t="n">
        <f aca="false">IF(R92=1,1/(O92^2+$Z$96),0)</f>
        <v>4.66898927507527</v>
      </c>
      <c r="U92" s="14" t="s">
        <v>72</v>
      </c>
    </row>
    <row r="93" customFormat="false" ht="15" hidden="false" customHeight="false" outlineLevel="0" collapsed="false">
      <c r="A93" s="10" t="s">
        <v>217</v>
      </c>
      <c r="B93" s="10" t="s">
        <v>93</v>
      </c>
      <c r="C93" s="10" t="n">
        <v>2006</v>
      </c>
      <c r="D93" s="10" t="s">
        <v>62</v>
      </c>
      <c r="E93" s="10" t="s">
        <v>122</v>
      </c>
      <c r="F93" s="10" t="s">
        <v>57</v>
      </c>
      <c r="G93" s="10" t="s">
        <v>232</v>
      </c>
      <c r="H93" s="10" t="n">
        <v>2.79</v>
      </c>
      <c r="I93" s="10" t="n">
        <v>12.83</v>
      </c>
      <c r="J93" s="10" t="s">
        <v>66</v>
      </c>
      <c r="K93" s="11" t="n">
        <v>1.2</v>
      </c>
      <c r="L93" s="11" t="n">
        <v>0.6</v>
      </c>
      <c r="M93" s="11" t="n">
        <v>2.2</v>
      </c>
      <c r="N93" s="12" t="n">
        <f aca="false">LN(K93)</f>
        <v>0.182321556793955</v>
      </c>
      <c r="O93" s="12" t="n">
        <f aca="false">(LN(M93)-LN(L93))/(2*1.959964)</f>
        <v>0.331455828813759</v>
      </c>
      <c r="P93" s="12" t="n">
        <f aca="false">IF(O93&gt;0,1/O93^2,0)</f>
        <v>9.10224830323598</v>
      </c>
      <c r="Q93" s="13" t="n">
        <v>1</v>
      </c>
      <c r="R93" s="13" t="n">
        <v>1</v>
      </c>
      <c r="S93" s="12" t="n">
        <f aca="false">IF(Q93=1,1/(O93^2+$Z$95),0)</f>
        <v>4.29997141152313</v>
      </c>
      <c r="T93" s="12" t="n">
        <f aca="false">IF(R93=1,1/(O93^2+$Z$96),0)</f>
        <v>4.29997141152313</v>
      </c>
      <c r="U93" s="14"/>
    </row>
    <row r="94" customFormat="false" ht="15" hidden="false" customHeight="false" outlineLevel="0" collapsed="false">
      <c r="A94" s="10" t="s">
        <v>217</v>
      </c>
      <c r="B94" s="10" t="s">
        <v>154</v>
      </c>
      <c r="C94" s="10" t="n">
        <v>2001</v>
      </c>
      <c r="D94" s="10" t="s">
        <v>88</v>
      </c>
      <c r="E94" s="10" t="s">
        <v>122</v>
      </c>
      <c r="F94" s="10" t="s">
        <v>57</v>
      </c>
      <c r="G94" s="10" t="s">
        <v>167</v>
      </c>
      <c r="H94" s="10" t="n">
        <v>1.59</v>
      </c>
      <c r="I94" s="10" t="n">
        <v>10.88</v>
      </c>
      <c r="J94" s="10" t="s">
        <v>59</v>
      </c>
      <c r="K94" s="11" t="n">
        <v>0.71</v>
      </c>
      <c r="L94" s="11" t="n">
        <v>0.39</v>
      </c>
      <c r="M94" s="11" t="n">
        <v>1.28</v>
      </c>
      <c r="N94" s="12" t="n">
        <f aca="false">LN(K94)</f>
        <v>-0.342490308946776</v>
      </c>
      <c r="O94" s="12" t="n">
        <f aca="false">(LN(M94)-LN(L94))/(2*1.959964)</f>
        <v>0.303186338573048</v>
      </c>
      <c r="P94" s="12" t="n">
        <f aca="false">IF(O94&gt;0,1/O94^2,0)</f>
        <v>10.8787937575754</v>
      </c>
      <c r="Q94" s="13" t="n">
        <v>1</v>
      </c>
      <c r="R94" s="13" t="n">
        <v>1</v>
      </c>
      <c r="S94" s="12" t="n">
        <f aca="false">IF(Q94=1,1/(O94^2+$Z$95),0)</f>
        <v>4.6594267685065</v>
      </c>
      <c r="T94" s="12" t="n">
        <f aca="false">IF(R94=1,1/(O94^2+$Z$96),0)</f>
        <v>4.6594267685065</v>
      </c>
      <c r="U94" s="14"/>
    </row>
    <row r="95" customFormat="false" ht="15" hidden="false" customHeight="false" outlineLevel="0" collapsed="false">
      <c r="A95" s="15"/>
      <c r="B95" s="15" t="s">
        <v>101</v>
      </c>
      <c r="C95" s="15"/>
      <c r="D95" s="15"/>
      <c r="E95" s="15"/>
      <c r="F95" s="15"/>
      <c r="G95" s="15"/>
      <c r="H95" s="15"/>
      <c r="I95" s="15"/>
      <c r="J95" s="15" t="s">
        <v>102</v>
      </c>
      <c r="K95" s="16" t="n">
        <f aca="false">IF(V95&gt;0,EXP(AB95),"")</f>
        <v>0.925808961043607</v>
      </c>
      <c r="L95" s="16" t="n">
        <f aca="false">IF(V95&gt;0,EXP(AB95-1.959964*AC95),"")</f>
        <v>0.638886781091782</v>
      </c>
      <c r="M95" s="16" t="n">
        <f aca="false">IF(V95&gt;0,EXP(AB95+1.959964*AC95),"")</f>
        <v>1.34158705065696</v>
      </c>
      <c r="N95" s="15"/>
      <c r="O95" s="15"/>
      <c r="P95" s="15"/>
      <c r="Q95" s="15"/>
      <c r="R95" s="15"/>
      <c r="S95" s="15"/>
      <c r="T95" s="15"/>
      <c r="U95" s="15"/>
      <c r="V95" s="15" t="n">
        <f aca="false">SUM($Q$85:$Q$94)</f>
        <v>6</v>
      </c>
      <c r="W95" s="16" t="n">
        <f aca="false">IF(V95&gt;0,SUMPRODUCT($Q$85:$Q$94,$P$85:$P$94,$N$85:$N$94)/SUMPRODUCT($Q$85:$Q$94,$P$85:$P$94),0)</f>
        <v>0.0210224143201665</v>
      </c>
      <c r="X95" s="16" t="n">
        <f aca="false">IF(V95&gt;1,SUMPRODUCT($Q$85:$Q$94,$P$85:$P$94,($N$85:$N$94-W95)^2),0)</f>
        <v>14.0710150407162</v>
      </c>
      <c r="Y95" s="16" t="n">
        <f aca="false">IF(V95&gt;1,SUMPRODUCT($Q$85:$Q$94,$P$85:$P$94)-SUMPRODUCT($Q$85:$Q$94,$P$85:$P$94,$P$85:$P$94)/SUMPRODUCT($Q$85:$Q$94,$P$85:$P$94),0)</f>
        <v>73.9303796891197</v>
      </c>
      <c r="Z95" s="16" t="n">
        <f aca="false">IF(Y95&gt;0,MAX(0,(X95-(V95-1))/Y95),0)</f>
        <v>0.122696719249383</v>
      </c>
      <c r="AA95" s="17" t="n">
        <f aca="false">IF(AND(V95&gt;1,X95&gt;0),MAX(0,(X95-(V95-1))/X95),0)</f>
        <v>0.644659608028854</v>
      </c>
      <c r="AB95" s="16" t="n">
        <f aca="false">IF(SUM($S$85:$S$94)&gt;0,SUMPRODUCT($S$85:$S$94,$N$85:$N$94)/SUM($S$85:$S$94),0)</f>
        <v>-0.0770873711883375</v>
      </c>
      <c r="AC95" s="16" t="n">
        <f aca="false">IF(SUM($S$85:$S$94)&gt;0,SQRT(1/SUM($S$85:$S$94)),0)</f>
        <v>0.189258910115061</v>
      </c>
    </row>
    <row r="96" customFormat="false" ht="15" hidden="false" customHeight="false" outlineLevel="0" collapsed="false">
      <c r="A96" s="15"/>
      <c r="B96" s="15" t="s">
        <v>103</v>
      </c>
      <c r="C96" s="15"/>
      <c r="D96" s="15"/>
      <c r="E96" s="15"/>
      <c r="F96" s="15"/>
      <c r="G96" s="15"/>
      <c r="H96" s="15"/>
      <c r="I96" s="15"/>
      <c r="J96" s="15" t="s">
        <v>102</v>
      </c>
      <c r="K96" s="16" t="n">
        <f aca="false">IF(V96&gt;0,EXP(AB96),"")</f>
        <v>0.925808961043607</v>
      </c>
      <c r="L96" s="16" t="n">
        <f aca="false">IF(V96&gt;0,EXP(AB96-1.959964*AC96),"")</f>
        <v>0.638886781091782</v>
      </c>
      <c r="M96" s="16" t="n">
        <f aca="false">IF(V96&gt;0,EXP(AB96+1.959964*AC96),"")</f>
        <v>1.34158705065696</v>
      </c>
      <c r="N96" s="15"/>
      <c r="O96" s="15"/>
      <c r="P96" s="15"/>
      <c r="Q96" s="15"/>
      <c r="R96" s="15"/>
      <c r="S96" s="15"/>
      <c r="T96" s="15"/>
      <c r="U96" s="15"/>
      <c r="V96" s="15" t="n">
        <f aca="false">SUM($R$85:$R$94)</f>
        <v>6</v>
      </c>
      <c r="W96" s="16" t="n">
        <f aca="false">IF(V96&gt;0,SUMPRODUCT($R$85:$R$94,$P$85:$P$94,$N$85:$N$94)/SUMPRODUCT($R$85:$R$94,$P$85:$P$94),0)</f>
        <v>0.0210224143201665</v>
      </c>
      <c r="X96" s="16" t="n">
        <f aca="false">IF(V96&gt;1,SUMPRODUCT($R$85:$R$94,$P$85:$P$94,($N$85:$N$94-W96)^2),0)</f>
        <v>14.0710150407162</v>
      </c>
      <c r="Y96" s="16" t="n">
        <f aca="false">IF(V96&gt;1,SUMPRODUCT($R$85:$R$94,$P$85:$P$94)-SUMPRODUCT($R$85:$R$94,$P$85:$P$94,$P$85:$P$94)/SUMPRODUCT($R$85:$R$94,$P$85:$P$94),0)</f>
        <v>73.9303796891197</v>
      </c>
      <c r="Z96" s="16" t="n">
        <f aca="false">IF(Y96&gt;0,MAX(0,(X96-(V96-1))/Y96),0)</f>
        <v>0.122696719249383</v>
      </c>
      <c r="AA96" s="17" t="n">
        <f aca="false">IF(AND(V96&gt;1,X96&gt;0),MAX(0,(X96-(V96-1))/X96),0)</f>
        <v>0.644659608028854</v>
      </c>
      <c r="AB96" s="16" t="n">
        <f aca="false">IF(SUM($T$85:$T$94)&gt;0,SUMPRODUCT($T$85:$T$94,$N$85:$N$94)/SUM($T$85:$T$94),0)</f>
        <v>-0.0770873711883375</v>
      </c>
      <c r="AC96" s="16" t="n">
        <f aca="false">IF(SUM($T$85:$T$94)&gt;0,SQRT(1/SUM($T$85:$T$94)),0)</f>
        <v>0.189258910115061</v>
      </c>
    </row>
    <row r="98" customFormat="false" ht="15" hidden="false" customHeight="false" outlineLevel="0" collapsed="false">
      <c r="A98" s="8" t="s">
        <v>233</v>
      </c>
      <c r="B98" s="9"/>
      <c r="C98" s="9"/>
      <c r="D98" s="9"/>
      <c r="E98" s="9"/>
      <c r="F98" s="9"/>
      <c r="G98" s="9"/>
      <c r="H98" s="9"/>
      <c r="I98" s="9"/>
      <c r="J98" s="9"/>
      <c r="K98" s="9"/>
      <c r="L98" s="9"/>
      <c r="M98" s="9"/>
      <c r="N98" s="9"/>
      <c r="O98" s="9"/>
      <c r="P98" s="9"/>
      <c r="Q98" s="9"/>
      <c r="R98" s="9"/>
      <c r="S98" s="9"/>
      <c r="T98" s="9"/>
      <c r="U98" s="9"/>
    </row>
    <row r="99" customFormat="false" ht="15" hidden="false" customHeight="false" outlineLevel="0" collapsed="false">
      <c r="A99" s="10" t="s">
        <v>233</v>
      </c>
      <c r="B99" s="10" t="s">
        <v>234</v>
      </c>
      <c r="C99" s="10" t="n">
        <v>2006</v>
      </c>
      <c r="D99" s="10" t="s">
        <v>62</v>
      </c>
      <c r="E99" s="10" t="s">
        <v>235</v>
      </c>
      <c r="F99" s="10" t="s">
        <v>57</v>
      </c>
      <c r="G99" s="10" t="s">
        <v>236</v>
      </c>
      <c r="H99" s="10" t="n">
        <v>1.33</v>
      </c>
      <c r="I99" s="10" t="n">
        <v>5.31</v>
      </c>
      <c r="J99" s="10" t="s">
        <v>66</v>
      </c>
      <c r="K99" s="11" t="n">
        <v>0.9</v>
      </c>
      <c r="L99" s="11" t="n">
        <v>0.5</v>
      </c>
      <c r="M99" s="11" t="n">
        <v>1.7</v>
      </c>
      <c r="N99" s="12" t="n">
        <f aca="false">LN(K99)</f>
        <v>-0.105360515657826</v>
      </c>
      <c r="O99" s="12" t="n">
        <f aca="false">(LN(M99)-LN(L99))/(2*1.959964)</f>
        <v>0.312193344271149</v>
      </c>
      <c r="P99" s="12" t="n">
        <f aca="false">IF(O99&gt;0,1/O99^2,0)</f>
        <v>10.2601266103121</v>
      </c>
      <c r="Q99" s="13" t="n">
        <v>1</v>
      </c>
      <c r="R99" s="13" t="n">
        <v>1</v>
      </c>
      <c r="S99" s="12" t="n">
        <f aca="false">IF(Q99=1,1/(O99^2+$Z$102),0)</f>
        <v>10.2601266103121</v>
      </c>
      <c r="T99" s="12" t="n">
        <f aca="false">IF(R99=1,1/(O99^2+$Z$103),0)</f>
        <v>10.2601266103121</v>
      </c>
      <c r="U99" s="14" t="s">
        <v>237</v>
      </c>
    </row>
    <row r="100" customFormat="false" ht="15" hidden="false" customHeight="false" outlineLevel="0" collapsed="false">
      <c r="A100" s="10" t="s">
        <v>233</v>
      </c>
      <c r="B100" s="10" t="s">
        <v>125</v>
      </c>
      <c r="C100" s="10" t="n">
        <v>2016</v>
      </c>
      <c r="D100" s="10" t="s">
        <v>62</v>
      </c>
      <c r="E100" s="10" t="s">
        <v>75</v>
      </c>
      <c r="F100" s="10" t="s">
        <v>64</v>
      </c>
      <c r="G100" s="10" t="s">
        <v>238</v>
      </c>
      <c r="H100" s="10" t="n">
        <v>2.3</v>
      </c>
      <c r="I100" s="10" t="n">
        <v>8.8</v>
      </c>
      <c r="J100" s="10" t="s">
        <v>66</v>
      </c>
      <c r="K100" s="11" t="n">
        <v>1.08</v>
      </c>
      <c r="L100" s="11" t="n">
        <v>0.8</v>
      </c>
      <c r="M100" s="11" t="n">
        <v>1.43</v>
      </c>
      <c r="N100" s="12" t="n">
        <f aca="false">LN(K100)</f>
        <v>0.0769610411361284</v>
      </c>
      <c r="O100" s="12" t="n">
        <f aca="false">(LN(M100)-LN(L100))/(2*1.959964)</f>
        <v>0.148170577517247</v>
      </c>
      <c r="P100" s="12" t="n">
        <f aca="false">IF(O100&gt;0,1/O100^2,0)</f>
        <v>45.5487069676914</v>
      </c>
      <c r="Q100" s="13" t="n">
        <v>1</v>
      </c>
      <c r="R100" s="13" t="n">
        <v>1</v>
      </c>
      <c r="S100" s="12" t="n">
        <f aca="false">IF(Q100=1,1/(O100^2+$Z$102),0)</f>
        <v>45.5487069676914</v>
      </c>
      <c r="T100" s="12" t="n">
        <f aca="false">IF(R100=1,1/(O100^2+$Z$103),0)</f>
        <v>45.5487069676914</v>
      </c>
      <c r="U100" s="14" t="s">
        <v>239</v>
      </c>
    </row>
    <row r="101" customFormat="false" ht="15" hidden="false" customHeight="false" outlineLevel="0" collapsed="false">
      <c r="A101" s="10" t="s">
        <v>233</v>
      </c>
      <c r="B101" s="10" t="s">
        <v>154</v>
      </c>
      <c r="C101" s="10" t="n">
        <v>2001</v>
      </c>
      <c r="D101" s="10" t="s">
        <v>88</v>
      </c>
      <c r="E101" s="10" t="s">
        <v>122</v>
      </c>
      <c r="F101" s="10" t="s">
        <v>57</v>
      </c>
      <c r="G101" s="10" t="s">
        <v>167</v>
      </c>
      <c r="H101" s="10" t="n">
        <v>1.59</v>
      </c>
      <c r="I101" s="10" t="n">
        <v>10.88</v>
      </c>
      <c r="J101" s="10" t="s">
        <v>59</v>
      </c>
      <c r="K101" s="11" t="n">
        <v>1</v>
      </c>
      <c r="L101" s="11" t="n">
        <v>0.82</v>
      </c>
      <c r="M101" s="11" t="n">
        <v>1.23</v>
      </c>
      <c r="N101" s="12" t="n">
        <f aca="false">LN(K101)</f>
        <v>0</v>
      </c>
      <c r="O101" s="12" t="n">
        <f aca="false">(LN(M101)-LN(L101))/(2*1.959964)</f>
        <v>0.103436876419201</v>
      </c>
      <c r="P101" s="12" t="n">
        <f aca="false">IF(O101&gt;0,1/O101^2,0)</f>
        <v>93.4650419980367</v>
      </c>
      <c r="Q101" s="13" t="n">
        <v>1</v>
      </c>
      <c r="R101" s="13" t="n">
        <v>1</v>
      </c>
      <c r="S101" s="12" t="n">
        <f aca="false">IF(Q101=1,1/(O101^2+$Z$102),0)</f>
        <v>93.4650419980367</v>
      </c>
      <c r="T101" s="12" t="n">
        <f aca="false">IF(R101=1,1/(O101^2+$Z$103),0)</f>
        <v>93.4650419980367</v>
      </c>
      <c r="U101" s="14"/>
    </row>
    <row r="102" customFormat="false" ht="15" hidden="false" customHeight="false" outlineLevel="0" collapsed="false">
      <c r="A102" s="15"/>
      <c r="B102" s="15" t="s">
        <v>101</v>
      </c>
      <c r="C102" s="15"/>
      <c r="D102" s="15"/>
      <c r="E102" s="15"/>
      <c r="F102" s="15"/>
      <c r="G102" s="15"/>
      <c r="H102" s="15"/>
      <c r="I102" s="15"/>
      <c r="J102" s="15" t="s">
        <v>102</v>
      </c>
      <c r="K102" s="16" t="n">
        <f aca="false">IF(V102&gt;0,EXP(AB102),"")</f>
        <v>1.01637432820358</v>
      </c>
      <c r="L102" s="16" t="n">
        <f aca="false">IF(V102&gt;0,EXP(AB102-1.959964*AC102),"")</f>
        <v>0.865734129129149</v>
      </c>
      <c r="M102" s="16" t="n">
        <f aca="false">IF(V102&gt;0,EXP(AB102+1.959964*AC102),"")</f>
        <v>1.1932263500694</v>
      </c>
      <c r="N102" s="15"/>
      <c r="O102" s="15"/>
      <c r="P102" s="15"/>
      <c r="Q102" s="15"/>
      <c r="R102" s="15"/>
      <c r="S102" s="15"/>
      <c r="T102" s="15"/>
      <c r="U102" s="15"/>
      <c r="V102" s="15" t="n">
        <f aca="false">SUM($Q$99:$Q$101)</f>
        <v>3</v>
      </c>
      <c r="W102" s="16" t="n">
        <f aca="false">IF(V102&gt;0,SUMPRODUCT($Q$99:$Q$101,$P$99:$P$101,$N$99:$N$101)/SUMPRODUCT($Q$99:$Q$101,$P$99:$P$101),0)</f>
        <v>0.0162417145726605</v>
      </c>
      <c r="X102" s="16" t="n">
        <f aca="false">IF(V102&gt;1,SUMPRODUCT($Q$99:$Q$101,$P$99:$P$101,($N$99:$N$101-W102)^2),0)</f>
        <v>0.34430363469868</v>
      </c>
      <c r="Y102" s="16" t="n">
        <f aca="false">IF(V102&gt;1,SUMPRODUCT($Q$99:$Q$101,$P$99:$P$101)-SUMPRODUCT($Q$99:$Q$101,$P$99:$P$101,$P$99:$P$101)/SUMPRODUCT($Q$99:$Q$101,$P$99:$P$101),0)</f>
        <v>76.1487628390658</v>
      </c>
      <c r="Z102" s="16" t="n">
        <f aca="false">IF(Y102&gt;0,MAX(0,(X102-(V102-1))/Y102),0)</f>
        <v>0</v>
      </c>
      <c r="AA102" s="17" t="n">
        <f aca="false">IF(AND(V102&gt;1,X102&gt;0),MAX(0,(X102-(V102-1))/X102),0)</f>
        <v>0</v>
      </c>
      <c r="AB102" s="16" t="n">
        <f aca="false">IF(SUM($S$99:$S$101)&gt;0,SUMPRODUCT($S$99:$S$101,$N$99:$N$101)/SUM($S$99:$S$101),0)</f>
        <v>0.0162417145726605</v>
      </c>
      <c r="AC102" s="16" t="n">
        <f aca="false">IF(SUM($S$99:$S$101)&gt;0,SQRT(1/SUM($S$99:$S$101)),0)</f>
        <v>0.0818480045414776</v>
      </c>
    </row>
    <row r="103" customFormat="false" ht="15" hidden="false" customHeight="false" outlineLevel="0" collapsed="false">
      <c r="A103" s="15"/>
      <c r="B103" s="15" t="s">
        <v>103</v>
      </c>
      <c r="C103" s="15"/>
      <c r="D103" s="15"/>
      <c r="E103" s="15"/>
      <c r="F103" s="15"/>
      <c r="G103" s="15"/>
      <c r="H103" s="15"/>
      <c r="I103" s="15"/>
      <c r="J103" s="15" t="s">
        <v>102</v>
      </c>
      <c r="K103" s="16" t="n">
        <f aca="false">IF(V103&gt;0,EXP(AB103),"")</f>
        <v>1.01637432820358</v>
      </c>
      <c r="L103" s="16" t="n">
        <f aca="false">IF(V103&gt;0,EXP(AB103-1.959964*AC103),"")</f>
        <v>0.865734129129149</v>
      </c>
      <c r="M103" s="16" t="n">
        <f aca="false">IF(V103&gt;0,EXP(AB103+1.959964*AC103),"")</f>
        <v>1.1932263500694</v>
      </c>
      <c r="N103" s="15"/>
      <c r="O103" s="15"/>
      <c r="P103" s="15"/>
      <c r="Q103" s="15"/>
      <c r="R103" s="15"/>
      <c r="S103" s="15"/>
      <c r="T103" s="15"/>
      <c r="U103" s="15"/>
      <c r="V103" s="15" t="n">
        <f aca="false">SUM($R$99:$R$101)</f>
        <v>3</v>
      </c>
      <c r="W103" s="16" t="n">
        <f aca="false">IF(V103&gt;0,SUMPRODUCT($R$99:$R$101,$P$99:$P$101,$N$99:$N$101)/SUMPRODUCT($R$99:$R$101,$P$99:$P$101),0)</f>
        <v>0.0162417145726605</v>
      </c>
      <c r="X103" s="16" t="n">
        <f aca="false">IF(V103&gt;1,SUMPRODUCT($R$99:$R$101,$P$99:$P$101,($N$99:$N$101-W103)^2),0)</f>
        <v>0.34430363469868</v>
      </c>
      <c r="Y103" s="16" t="n">
        <f aca="false">IF(V103&gt;1,SUMPRODUCT($R$99:$R$101,$P$99:$P$101)-SUMPRODUCT($R$99:$R$101,$P$99:$P$101,$P$99:$P$101)/SUMPRODUCT($R$99:$R$101,$P$99:$P$101),0)</f>
        <v>76.1487628390658</v>
      </c>
      <c r="Z103" s="16" t="n">
        <f aca="false">IF(Y103&gt;0,MAX(0,(X103-(V103-1))/Y103),0)</f>
        <v>0</v>
      </c>
      <c r="AA103" s="17" t="n">
        <f aca="false">IF(AND(V103&gt;1,X103&gt;0),MAX(0,(X103-(V103-1))/X103),0)</f>
        <v>0</v>
      </c>
      <c r="AB103" s="16" t="n">
        <f aca="false">IF(SUM($T$99:$T$101)&gt;0,SUMPRODUCT($T$99:$T$101,$N$99:$N$101)/SUM($T$99:$T$101),0)</f>
        <v>0.0162417145726605</v>
      </c>
      <c r="AC103" s="16" t="n">
        <f aca="false">IF(SUM($T$99:$T$101)&gt;0,SQRT(1/SUM($T$99:$T$101)),0)</f>
        <v>0.0818480045414776</v>
      </c>
    </row>
    <row r="105" customFormat="false" ht="15" hidden="false" customHeight="false" outlineLevel="0" collapsed="false">
      <c r="A105" s="8" t="s">
        <v>240</v>
      </c>
      <c r="B105" s="9"/>
      <c r="C105" s="9"/>
      <c r="D105" s="9"/>
      <c r="E105" s="9"/>
      <c r="F105" s="9"/>
      <c r="G105" s="9"/>
      <c r="H105" s="9"/>
      <c r="I105" s="9"/>
      <c r="J105" s="9"/>
      <c r="K105" s="9"/>
      <c r="L105" s="9"/>
      <c r="M105" s="9"/>
      <c r="N105" s="9"/>
      <c r="O105" s="9"/>
      <c r="P105" s="9"/>
      <c r="Q105" s="9"/>
      <c r="R105" s="9"/>
      <c r="S105" s="9"/>
      <c r="T105" s="9"/>
      <c r="U105" s="9"/>
    </row>
    <row r="106" customFormat="false" ht="15" hidden="false" customHeight="false" outlineLevel="0" collapsed="false">
      <c r="A106" s="10" t="s">
        <v>240</v>
      </c>
      <c r="B106" s="10" t="s">
        <v>241</v>
      </c>
      <c r="C106" s="10" t="n">
        <v>2001</v>
      </c>
      <c r="D106" s="10" t="s">
        <v>62</v>
      </c>
      <c r="E106" s="10" t="s">
        <v>242</v>
      </c>
      <c r="F106" s="10" t="s">
        <v>57</v>
      </c>
      <c r="G106" s="10" t="s">
        <v>243</v>
      </c>
      <c r="H106" s="10"/>
      <c r="I106" s="10"/>
      <c r="J106" s="10" t="s">
        <v>66</v>
      </c>
      <c r="K106" s="11" t="n">
        <v>0.68</v>
      </c>
      <c r="L106" s="11" t="n">
        <v>0.27</v>
      </c>
      <c r="M106" s="11" t="n">
        <v>1.7</v>
      </c>
      <c r="N106" s="12" t="n">
        <f aca="false">LN(K106)</f>
        <v>-0.385662480811985</v>
      </c>
      <c r="O106" s="12" t="n">
        <f aca="false">(LN(M106)-LN(L106))/(2*1.959964)</f>
        <v>0.46938657318347</v>
      </c>
      <c r="P106" s="12" t="n">
        <f aca="false">IF(O106&gt;0,1/O106^2,0)</f>
        <v>4.53877522019613</v>
      </c>
      <c r="Q106" s="13" t="n">
        <v>1</v>
      </c>
      <c r="R106" s="13" t="n">
        <v>1</v>
      </c>
      <c r="S106" s="12" t="n">
        <f aca="false">IF(Q106=1,1/(O106^2+$Z$109),0)</f>
        <v>4.53877522019613</v>
      </c>
      <c r="T106" s="12" t="n">
        <f aca="false">IF(R106=1,1/(O106^2+$Z$110),0)</f>
        <v>4.53877522019613</v>
      </c>
      <c r="U106" s="14" t="s">
        <v>214</v>
      </c>
    </row>
    <row r="107" customFormat="false" ht="15" hidden="false" customHeight="false" outlineLevel="0" collapsed="false">
      <c r="A107" s="10" t="s">
        <v>240</v>
      </c>
      <c r="B107" s="10" t="s">
        <v>210</v>
      </c>
      <c r="C107" s="10" t="n">
        <v>2005</v>
      </c>
      <c r="D107" s="10" t="s">
        <v>55</v>
      </c>
      <c r="E107" s="10" t="s">
        <v>211</v>
      </c>
      <c r="F107" s="10" t="s">
        <v>212</v>
      </c>
      <c r="G107" s="10" t="s">
        <v>213</v>
      </c>
      <c r="H107" s="10"/>
      <c r="I107" s="10"/>
      <c r="J107" s="10" t="s">
        <v>66</v>
      </c>
      <c r="K107" s="11" t="n">
        <v>1.81</v>
      </c>
      <c r="L107" s="11" t="n">
        <v>1.35</v>
      </c>
      <c r="M107" s="11" t="n">
        <v>2.42</v>
      </c>
      <c r="N107" s="12" t="n">
        <f aca="false">LN(K107)</f>
        <v>0.593326845277734</v>
      </c>
      <c r="O107" s="12" t="n">
        <f aca="false">(LN(M107)-LN(L107))/(2*1.959964)</f>
        <v>0.148896343942607</v>
      </c>
      <c r="P107" s="12" t="n">
        <f aca="false">IF(O107&gt;0,1/O107^2,0)</f>
        <v>45.1057524313147</v>
      </c>
      <c r="Q107" s="13" t="n">
        <v>0</v>
      </c>
      <c r="R107" s="13" t="n">
        <v>0</v>
      </c>
      <c r="S107" s="12" t="n">
        <f aca="false">IF(Q107=1,1/(O107^2+$Z$109),0)</f>
        <v>0</v>
      </c>
      <c r="T107" s="12" t="n">
        <f aca="false">IF(R107=1,1/(O107^2+$Z$110),0)</f>
        <v>0</v>
      </c>
      <c r="U107" s="14" t="s">
        <v>214</v>
      </c>
    </row>
    <row r="108" customFormat="false" ht="15" hidden="false" customHeight="false" outlineLevel="0" collapsed="false">
      <c r="A108" s="10" t="s">
        <v>240</v>
      </c>
      <c r="B108" s="10" t="s">
        <v>154</v>
      </c>
      <c r="C108" s="10" t="n">
        <v>2001</v>
      </c>
      <c r="D108" s="10" t="s">
        <v>88</v>
      </c>
      <c r="E108" s="10" t="s">
        <v>122</v>
      </c>
      <c r="F108" s="10" t="s">
        <v>57</v>
      </c>
      <c r="G108" s="10" t="s">
        <v>167</v>
      </c>
      <c r="H108" s="10" t="n">
        <v>1.59</v>
      </c>
      <c r="I108" s="10" t="n">
        <v>10.88</v>
      </c>
      <c r="J108" s="10" t="s">
        <v>59</v>
      </c>
      <c r="K108" s="11" t="n">
        <v>0.92</v>
      </c>
      <c r="L108" s="11" t="n">
        <v>0.52</v>
      </c>
      <c r="M108" s="11" t="n">
        <v>1.63</v>
      </c>
      <c r="N108" s="12" t="n">
        <f aca="false">LN(K108)</f>
        <v>-0.083381608939051</v>
      </c>
      <c r="O108" s="12" t="n">
        <f aca="false">(LN(M108)-LN(L108))/(2*1.959964)</f>
        <v>0.291461088628499</v>
      </c>
      <c r="P108" s="12" t="n">
        <f aca="false">IF(O108&gt;0,1/O108^2,0)</f>
        <v>11.7716904854818</v>
      </c>
      <c r="Q108" s="13" t="n">
        <v>1</v>
      </c>
      <c r="R108" s="13" t="n">
        <v>1</v>
      </c>
      <c r="S108" s="12" t="n">
        <f aca="false">IF(Q108=1,1/(O108^2+$Z$109),0)</f>
        <v>11.7716904854818</v>
      </c>
      <c r="T108" s="12" t="n">
        <f aca="false">IF(R108=1,1/(O108^2+$Z$110),0)</f>
        <v>11.7716904854818</v>
      </c>
      <c r="U108" s="14"/>
    </row>
    <row r="109" customFormat="false" ht="15" hidden="false" customHeight="false" outlineLevel="0" collapsed="false">
      <c r="A109" s="15"/>
      <c r="B109" s="15" t="s">
        <v>101</v>
      </c>
      <c r="C109" s="15"/>
      <c r="D109" s="15"/>
      <c r="E109" s="15"/>
      <c r="F109" s="15"/>
      <c r="G109" s="15"/>
      <c r="H109" s="15"/>
      <c r="I109" s="15"/>
      <c r="J109" s="15" t="s">
        <v>102</v>
      </c>
      <c r="K109" s="16" t="n">
        <f aca="false">IF(V109&gt;0,EXP(AB109),"")</f>
        <v>0.845777924126254</v>
      </c>
      <c r="L109" s="16" t="n">
        <f aca="false">IF(V109&gt;0,EXP(AB109-1.959964*AC109),"")</f>
        <v>0.520584208483327</v>
      </c>
      <c r="M109" s="16" t="n">
        <f aca="false">IF(V109&gt;0,EXP(AB109+1.959964*AC109),"")</f>
        <v>1.37411063432637</v>
      </c>
      <c r="N109" s="15"/>
      <c r="O109" s="15"/>
      <c r="P109" s="15"/>
      <c r="Q109" s="15"/>
      <c r="R109" s="15"/>
      <c r="S109" s="15"/>
      <c r="T109" s="15"/>
      <c r="U109" s="15"/>
      <c r="V109" s="15" t="n">
        <f aca="false">SUM($Q$106:$Q$108)</f>
        <v>2</v>
      </c>
      <c r="W109" s="16" t="n">
        <f aca="false">IF(V109&gt;0,SUMPRODUCT($Q$106:$Q$108,$P$106:$P$108,$N$106:$N$108)/SUMPRODUCT($Q$106:$Q$108,$P$106:$P$108),0)</f>
        <v>-0.167498454868137</v>
      </c>
      <c r="X109" s="16" t="n">
        <f aca="false">IF(V109&gt;1,SUMPRODUCT($Q$106:$Q$108,$P$106:$P$108,($N$106:$N$108-W109)^2),0)</f>
        <v>0.29931775603678</v>
      </c>
      <c r="Y109" s="16" t="n">
        <f aca="false">IF(V109&gt;1,SUMPRODUCT($Q$106:$Q$108,$P$106:$P$108)-SUMPRODUCT($Q$106:$Q$108,$P$106:$P$108,$P$106:$P$108)/SUMPRODUCT($Q$106:$Q$108,$P$106:$P$108),0)</f>
        <v>6.55150601331069</v>
      </c>
      <c r="Z109" s="16" t="n">
        <f aca="false">IF(Y109&gt;0,MAX(0,(X109-(V109-1))/Y109),0)</f>
        <v>0</v>
      </c>
      <c r="AA109" s="17" t="n">
        <f aca="false">IF(AND(V109&gt;1,X109&gt;0),MAX(0,(X109-(V109-1))/X109),0)</f>
        <v>0</v>
      </c>
      <c r="AB109" s="16" t="n">
        <f aca="false">IF(SUM($S$106:$S$108)&gt;0,SUMPRODUCT($S$106:$S$108,$N$106:$N$108)/SUM($S$106:$S$108),0)</f>
        <v>-0.167498454868137</v>
      </c>
      <c r="AC109" s="16" t="n">
        <f aca="false">IF(SUM($S$106:$S$108)&gt;0,SQRT(1/SUM($S$106:$S$108)),0)</f>
        <v>0.247609224105611</v>
      </c>
    </row>
    <row r="110" customFormat="false" ht="15" hidden="false" customHeight="false" outlineLevel="0" collapsed="false">
      <c r="A110" s="15"/>
      <c r="B110" s="15" t="s">
        <v>103</v>
      </c>
      <c r="C110" s="15"/>
      <c r="D110" s="15"/>
      <c r="E110" s="15"/>
      <c r="F110" s="15"/>
      <c r="G110" s="15"/>
      <c r="H110" s="15"/>
      <c r="I110" s="15"/>
      <c r="J110" s="15" t="s">
        <v>102</v>
      </c>
      <c r="K110" s="16" t="n">
        <f aca="false">IF(V110&gt;0,EXP(AB110),"")</f>
        <v>0.845777924126254</v>
      </c>
      <c r="L110" s="16" t="n">
        <f aca="false">IF(V110&gt;0,EXP(AB110-1.959964*AC110),"")</f>
        <v>0.520584208483327</v>
      </c>
      <c r="M110" s="16" t="n">
        <f aca="false">IF(V110&gt;0,EXP(AB110+1.959964*AC110),"")</f>
        <v>1.37411063432637</v>
      </c>
      <c r="N110" s="15"/>
      <c r="O110" s="15"/>
      <c r="P110" s="15"/>
      <c r="Q110" s="15"/>
      <c r="R110" s="15"/>
      <c r="S110" s="15"/>
      <c r="T110" s="15"/>
      <c r="U110" s="15"/>
      <c r="V110" s="15" t="n">
        <f aca="false">SUM($R$106:$R$108)</f>
        <v>2</v>
      </c>
      <c r="W110" s="16" t="n">
        <f aca="false">IF(V110&gt;0,SUMPRODUCT($R$106:$R$108,$P$106:$P$108,$N$106:$N$108)/SUMPRODUCT($R$106:$R$108,$P$106:$P$108),0)</f>
        <v>-0.167498454868137</v>
      </c>
      <c r="X110" s="16" t="n">
        <f aca="false">IF(V110&gt;1,SUMPRODUCT($R$106:$R$108,$P$106:$P$108,($N$106:$N$108-W110)^2),0)</f>
        <v>0.29931775603678</v>
      </c>
      <c r="Y110" s="16" t="n">
        <f aca="false">IF(V110&gt;1,SUMPRODUCT($R$106:$R$108,$P$106:$P$108)-SUMPRODUCT($R$106:$R$108,$P$106:$P$108,$P$106:$P$108)/SUMPRODUCT($R$106:$R$108,$P$106:$P$108),0)</f>
        <v>6.55150601331069</v>
      </c>
      <c r="Z110" s="16" t="n">
        <f aca="false">IF(Y110&gt;0,MAX(0,(X110-(V110-1))/Y110),0)</f>
        <v>0</v>
      </c>
      <c r="AA110" s="17" t="n">
        <f aca="false">IF(AND(V110&gt;1,X110&gt;0),MAX(0,(X110-(V110-1))/X110),0)</f>
        <v>0</v>
      </c>
      <c r="AB110" s="16" t="n">
        <f aca="false">IF(SUM($T$106:$T$108)&gt;0,SUMPRODUCT($T$106:$T$108,$N$106:$N$108)/SUM($T$106:$T$108),0)</f>
        <v>-0.167498454868137</v>
      </c>
      <c r="AC110" s="16" t="n">
        <f aca="false">IF(SUM($T$106:$T$108)&gt;0,SQRT(1/SUM($T$106:$T$108)),0)</f>
        <v>0.247609224105611</v>
      </c>
    </row>
    <row r="112" customFormat="false" ht="15" hidden="false" customHeight="false" outlineLevel="0" collapsed="false">
      <c r="A112" s="8" t="s">
        <v>244</v>
      </c>
      <c r="B112" s="9"/>
      <c r="C112" s="9"/>
      <c r="D112" s="9"/>
      <c r="E112" s="9"/>
      <c r="F112" s="9"/>
      <c r="G112" s="9"/>
      <c r="H112" s="9"/>
      <c r="I112" s="9"/>
      <c r="J112" s="9"/>
      <c r="K112" s="9"/>
      <c r="L112" s="9"/>
      <c r="M112" s="9"/>
      <c r="N112" s="9"/>
      <c r="O112" s="9"/>
      <c r="P112" s="9"/>
      <c r="Q112" s="9"/>
      <c r="R112" s="9"/>
      <c r="S112" s="9"/>
      <c r="T112" s="9"/>
      <c r="U112" s="9"/>
    </row>
    <row r="113" customFormat="false" ht="15" hidden="false" customHeight="false" outlineLevel="0" collapsed="false">
      <c r="A113" s="10" t="s">
        <v>244</v>
      </c>
      <c r="B113" s="10" t="s">
        <v>245</v>
      </c>
      <c r="C113" s="10" t="n">
        <v>2015</v>
      </c>
      <c r="D113" s="10" t="s">
        <v>88</v>
      </c>
      <c r="E113" s="10" t="s">
        <v>122</v>
      </c>
      <c r="F113" s="10" t="s">
        <v>57</v>
      </c>
      <c r="G113" s="10" t="s">
        <v>246</v>
      </c>
      <c r="H113" s="10" t="n">
        <v>2.09</v>
      </c>
      <c r="I113" s="10" t="n">
        <v>13.18</v>
      </c>
      <c r="J113" s="10" t="s">
        <v>136</v>
      </c>
      <c r="K113" s="11" t="n">
        <v>2.14</v>
      </c>
      <c r="L113" s="11" t="n">
        <v>1.3</v>
      </c>
      <c r="M113" s="11" t="n">
        <v>3.54</v>
      </c>
      <c r="N113" s="12" t="n">
        <f aca="false">LN(K113)</f>
        <v>0.76080582903376</v>
      </c>
      <c r="O113" s="12" t="n">
        <f aca="false">(LN(M113)-LN(L113))/(2*1.959964)</f>
        <v>0.255556342534402</v>
      </c>
      <c r="P113" s="12" t="n">
        <f aca="false">IF(O113&gt;0,1/O113^2,0)</f>
        <v>15.3118149576841</v>
      </c>
      <c r="Q113" s="13" t="n">
        <v>1</v>
      </c>
      <c r="R113" s="13" t="n">
        <v>1</v>
      </c>
      <c r="S113" s="12" t="n">
        <f aca="false">IF(Q113=1,1/(O113^2+$Z$115),0)</f>
        <v>15.3118149576841</v>
      </c>
      <c r="T113" s="12" t="n">
        <f aca="false">IF(R113=1,1/(O113^2+$Z$116),0)</f>
        <v>15.3118149576841</v>
      </c>
      <c r="U113" s="14" t="s">
        <v>247</v>
      </c>
    </row>
    <row r="114" customFormat="false" ht="15" hidden="false" customHeight="false" outlineLevel="0" collapsed="false">
      <c r="A114" s="10" t="s">
        <v>244</v>
      </c>
      <c r="B114" s="10" t="s">
        <v>154</v>
      </c>
      <c r="C114" s="10" t="n">
        <v>2001</v>
      </c>
      <c r="D114" s="10" t="s">
        <v>88</v>
      </c>
      <c r="E114" s="10" t="s">
        <v>122</v>
      </c>
      <c r="F114" s="10" t="s">
        <v>57</v>
      </c>
      <c r="G114" s="10" t="s">
        <v>167</v>
      </c>
      <c r="H114" s="10" t="n">
        <v>1.59</v>
      </c>
      <c r="I114" s="10" t="n">
        <v>10.88</v>
      </c>
      <c r="J114" s="10" t="s">
        <v>59</v>
      </c>
      <c r="K114" s="11" t="n">
        <v>2.03</v>
      </c>
      <c r="L114" s="11" t="n">
        <v>1.01</v>
      </c>
      <c r="M114" s="11" t="n">
        <v>4.07</v>
      </c>
      <c r="N114" s="12" t="n">
        <f aca="false">LN(K114)</f>
        <v>0.708035793053696</v>
      </c>
      <c r="O114" s="12" t="n">
        <f aca="false">(LN(M114)-LN(L114))/(2*1.959964)</f>
        <v>0.35554037436436</v>
      </c>
      <c r="P114" s="12" t="n">
        <f aca="false">IF(O114&gt;0,1/O114^2,0)</f>
        <v>7.91083177473273</v>
      </c>
      <c r="Q114" s="13" t="n">
        <v>1</v>
      </c>
      <c r="R114" s="13" t="n">
        <v>0</v>
      </c>
      <c r="S114" s="12" t="n">
        <f aca="false">IF(Q114=1,1/(O114^2+$Z$115),0)</f>
        <v>7.91083177473273</v>
      </c>
      <c r="T114" s="12" t="n">
        <f aca="false">IF(R114=1,1/(O114^2+$Z$116),0)</f>
        <v>0</v>
      </c>
      <c r="U114" s="14" t="s">
        <v>248</v>
      </c>
    </row>
    <row r="115" customFormat="false" ht="15" hidden="false" customHeight="false" outlineLevel="0" collapsed="false">
      <c r="A115" s="15"/>
      <c r="B115" s="15" t="s">
        <v>101</v>
      </c>
      <c r="C115" s="15"/>
      <c r="D115" s="15"/>
      <c r="E115" s="15"/>
      <c r="F115" s="15"/>
      <c r="G115" s="15"/>
      <c r="H115" s="15"/>
      <c r="I115" s="15"/>
      <c r="J115" s="15" t="s">
        <v>102</v>
      </c>
      <c r="K115" s="16" t="n">
        <f aca="false">IF(V115&gt;0,EXP(AB115),"")</f>
        <v>2.10187463913335</v>
      </c>
      <c r="L115" s="16" t="n">
        <f aca="false">IF(V115&gt;0,EXP(AB115-1.959964*AC115),"")</f>
        <v>1.39949676024445</v>
      </c>
      <c r="M115" s="16" t="n">
        <f aca="false">IF(V115&gt;0,EXP(AB115+1.959964*AC115),"")</f>
        <v>3.1567611473858</v>
      </c>
      <c r="N115" s="15"/>
      <c r="O115" s="15"/>
      <c r="P115" s="15"/>
      <c r="Q115" s="15"/>
      <c r="R115" s="15"/>
      <c r="S115" s="15"/>
      <c r="T115" s="15"/>
      <c r="U115" s="15"/>
      <c r="V115" s="15" t="n">
        <f aca="false">SUM($Q$113:$Q$114)</f>
        <v>2</v>
      </c>
      <c r="W115" s="16" t="n">
        <f aca="false">IF(V115&gt;0,SUMPRODUCT($Q$113:$Q$114,$P$113:$P$114,$N$113:$N$114)/SUMPRODUCT($Q$113:$Q$114,$P$113:$P$114),0)</f>
        <v>0.742829631824415</v>
      </c>
      <c r="X115" s="16" t="n">
        <f aca="false">IF(V115&gt;1,SUMPRODUCT($Q$113:$Q$114,$P$113:$P$114,($N$113:$N$114-W115)^2),0)</f>
        <v>0.0145248576977798</v>
      </c>
      <c r="Y115" s="16" t="n">
        <f aca="false">IF(V115&gt;1,SUMPRODUCT($Q$113:$Q$114,$P$113:$P$114)-SUMPRODUCT($Q$113:$Q$114,$P$113:$P$114,$P$113:$P$114)/SUMPRODUCT($Q$113:$Q$114,$P$113:$P$114),0)</f>
        <v>10.4319885404784</v>
      </c>
      <c r="Z115" s="16" t="n">
        <f aca="false">IF(Y115&gt;0,MAX(0,(X115-(V115-1))/Y115),0)</f>
        <v>0</v>
      </c>
      <c r="AA115" s="17" t="n">
        <f aca="false">IF(AND(V115&gt;1,X115&gt;0),MAX(0,(X115-(V115-1))/X115),0)</f>
        <v>0</v>
      </c>
      <c r="AB115" s="16" t="n">
        <f aca="false">IF(SUM($S$113:$S$114)&gt;0,SUMPRODUCT($S$113:$S$114,$N$113:$N$114)/SUM($S$113:$S$114),0)</f>
        <v>0.742829631824415</v>
      </c>
      <c r="AC115" s="16" t="n">
        <f aca="false">IF(SUM($S$113:$S$114)&gt;0,SQRT(1/SUM($S$113:$S$114)),0)</f>
        <v>0.207512442469146</v>
      </c>
    </row>
    <row r="116" customFormat="false" ht="15" hidden="false" customHeight="false" outlineLevel="0" collapsed="false">
      <c r="A116" s="15"/>
      <c r="B116" s="15" t="s">
        <v>103</v>
      </c>
      <c r="C116" s="15"/>
      <c r="D116" s="15"/>
      <c r="E116" s="15"/>
      <c r="F116" s="15"/>
      <c r="G116" s="15"/>
      <c r="H116" s="15"/>
      <c r="I116" s="15"/>
      <c r="J116" s="15" t="s">
        <v>102</v>
      </c>
      <c r="K116" s="16" t="n">
        <f aca="false">IF(V116&gt;0,EXP(AB116),"")</f>
        <v>2.14</v>
      </c>
      <c r="L116" s="16" t="n">
        <f aca="false">IF(V116&gt;0,EXP(AB116-1.959964*AC116),"")</f>
        <v>1.29683229883414</v>
      </c>
      <c r="M116" s="16" t="n">
        <f aca="false">IF(V116&gt;0,EXP(AB116+1.959964*AC116),"")</f>
        <v>3.53137410605604</v>
      </c>
      <c r="N116" s="15"/>
      <c r="O116" s="15"/>
      <c r="P116" s="15"/>
      <c r="Q116" s="15"/>
      <c r="R116" s="15"/>
      <c r="S116" s="15"/>
      <c r="T116" s="15"/>
      <c r="U116" s="15"/>
      <c r="V116" s="15" t="n">
        <f aca="false">SUM($R$113:$R$114)</f>
        <v>1</v>
      </c>
      <c r="W116" s="16" t="n">
        <f aca="false">IF(V116&gt;0,SUMPRODUCT($R$113:$R$114,$P$113:$P$114,$N$113:$N$114)/SUMPRODUCT($R$113:$R$114,$P$113:$P$114),0)</f>
        <v>0.76080582903376</v>
      </c>
      <c r="X116" s="16" t="n">
        <f aca="false">IF(V116&gt;1,SUMPRODUCT($R$113:$R$114,$P$113:$P$114,($N$113:$N$114-W116)^2),0)</f>
        <v>0</v>
      </c>
      <c r="Y116" s="16" t="n">
        <f aca="false">IF(V116&gt;1,SUMPRODUCT($R$113:$R$114,$P$113:$P$114)-SUMPRODUCT($R$113:$R$114,$P$113:$P$114,$P$113:$P$114)/SUMPRODUCT($R$113:$R$114,$P$113:$P$114),0)</f>
        <v>0</v>
      </c>
      <c r="Z116" s="16" t="n">
        <f aca="false">IF(Y116&gt;0,MAX(0,(X116-(V116-1))/Y116),0)</f>
        <v>0</v>
      </c>
      <c r="AA116" s="17" t="n">
        <f aca="false">IF(AND(V116&gt;1,X116&gt;0),MAX(0,(X116-(V116-1))/X116),0)</f>
        <v>0</v>
      </c>
      <c r="AB116" s="16" t="n">
        <f aca="false">IF(SUM($T$113:$T$114)&gt;0,SUMPRODUCT($T$113:$T$114,$N$113:$N$114)/SUM($T$113:$T$114),0)</f>
        <v>0.76080582903376</v>
      </c>
      <c r="AC116" s="16" t="n">
        <f aca="false">IF(SUM($T$113:$T$114)&gt;0,SQRT(1/SUM($T$113:$T$114)),0)</f>
        <v>0.255556342534402</v>
      </c>
    </row>
    <row r="118" customFormat="false" ht="15" hidden="false" customHeight="false" outlineLevel="0" collapsed="false">
      <c r="A118" s="8" t="s">
        <v>249</v>
      </c>
      <c r="B118" s="9"/>
      <c r="C118" s="9"/>
      <c r="D118" s="9"/>
      <c r="E118" s="9"/>
      <c r="F118" s="9"/>
      <c r="G118" s="9"/>
      <c r="H118" s="9"/>
      <c r="I118" s="9"/>
      <c r="J118" s="9"/>
      <c r="K118" s="9"/>
      <c r="L118" s="9"/>
      <c r="M118" s="9"/>
      <c r="N118" s="9"/>
      <c r="O118" s="9"/>
      <c r="P118" s="9"/>
      <c r="Q118" s="9"/>
      <c r="R118" s="9"/>
      <c r="S118" s="9"/>
      <c r="T118" s="9"/>
      <c r="U118" s="9"/>
    </row>
    <row r="119" customFormat="false" ht="15" hidden="false" customHeight="false" outlineLevel="0" collapsed="false">
      <c r="A119" s="10" t="s">
        <v>249</v>
      </c>
      <c r="B119" s="10" t="s">
        <v>154</v>
      </c>
      <c r="C119" s="10" t="n">
        <v>2001</v>
      </c>
      <c r="D119" s="10" t="s">
        <v>88</v>
      </c>
      <c r="E119" s="10" t="s">
        <v>122</v>
      </c>
      <c r="F119" s="10" t="s">
        <v>57</v>
      </c>
      <c r="G119" s="10" t="s">
        <v>167</v>
      </c>
      <c r="H119" s="10" t="n">
        <v>1.59</v>
      </c>
      <c r="I119" s="10" t="n">
        <v>10.88</v>
      </c>
      <c r="J119" s="10" t="s">
        <v>59</v>
      </c>
      <c r="K119" s="11" t="n">
        <v>0.65</v>
      </c>
      <c r="L119" s="11" t="n">
        <v>0.4</v>
      </c>
      <c r="M119" s="11" t="n">
        <v>1.06</v>
      </c>
      <c r="N119" s="12" t="n">
        <f aca="false">LN(K119)</f>
        <v>-0.430782916092454</v>
      </c>
      <c r="O119" s="12" t="n">
        <f aca="false">(LN(M119)-LN(L119))/(2*1.959964)</f>
        <v>0.248616719490289</v>
      </c>
      <c r="P119" s="12" t="n">
        <f aca="false">IF(O119&gt;0,1/O119^2,0)</f>
        <v>16.178540363358</v>
      </c>
      <c r="Q119" s="13" t="n">
        <v>1</v>
      </c>
      <c r="R119" s="13" t="n">
        <v>1</v>
      </c>
      <c r="S119" s="12" t="n">
        <f aca="false">IF(Q119=1,1/(O119^2+$Z$120),0)</f>
        <v>16.178540363358</v>
      </c>
      <c r="T119" s="12" t="n">
        <f aca="false">IF(R119=1,1/(O119^2+$Z$121),0)</f>
        <v>16.178540363358</v>
      </c>
      <c r="U119" s="14"/>
    </row>
    <row r="120" customFormat="false" ht="15" hidden="false" customHeight="false" outlineLevel="0" collapsed="false">
      <c r="A120" s="15"/>
      <c r="B120" s="15" t="s">
        <v>101</v>
      </c>
      <c r="C120" s="15"/>
      <c r="D120" s="15"/>
      <c r="E120" s="15"/>
      <c r="F120" s="15"/>
      <c r="G120" s="15"/>
      <c r="H120" s="15"/>
      <c r="I120" s="15"/>
      <c r="J120" s="15" t="s">
        <v>102</v>
      </c>
      <c r="K120" s="16" t="n">
        <f aca="false">IF(V120&gt;0,EXP(AB120),"")</f>
        <v>0.65</v>
      </c>
      <c r="L120" s="16" t="n">
        <f aca="false">IF(V120&gt;0,EXP(AB120-1.959964*AC120),"")</f>
        <v>0.399291825942068</v>
      </c>
      <c r="M120" s="16" t="n">
        <f aca="false">IF(V120&gt;0,EXP(AB120+1.959964*AC120),"")</f>
        <v>1.05812333874648</v>
      </c>
      <c r="N120" s="15"/>
      <c r="O120" s="15"/>
      <c r="P120" s="15"/>
      <c r="Q120" s="15"/>
      <c r="R120" s="15"/>
      <c r="S120" s="15"/>
      <c r="T120" s="15"/>
      <c r="U120" s="15"/>
      <c r="V120" s="15" t="n">
        <f aca="false">SUM($Q$119:$Q$119)</f>
        <v>1</v>
      </c>
      <c r="W120" s="16" t="n">
        <f aca="false">IF(V120&gt;0,SUMPRODUCT($Q$119:$Q$119,$P$119:$P$119,$N$119:$N$119)/SUMPRODUCT($Q$119:$Q$119,$P$119:$P$119),0)</f>
        <v>-0.430782916092454</v>
      </c>
      <c r="X120" s="16" t="n">
        <f aca="false">IF(V120&gt;1,SUMPRODUCT($Q$119:$Q$119,$P$119:$P$119,($N$119:$N$119-W120)^2),0)</f>
        <v>0</v>
      </c>
      <c r="Y120" s="16" t="n">
        <f aca="false">IF(V120&gt;1,SUMPRODUCT($Q$119:$Q$119,$P$119:$P$119)-SUMPRODUCT($Q$119:$Q$119,$P$119:$P$119,$P$119:$P$119)/SUMPRODUCT($Q$119:$Q$119,$P$119:$P$119),0)</f>
        <v>0</v>
      </c>
      <c r="Z120" s="16" t="n">
        <f aca="false">IF(Y120&gt;0,MAX(0,(X120-(V120-1))/Y120),0)</f>
        <v>0</v>
      </c>
      <c r="AA120" s="17" t="n">
        <f aca="false">IF(AND(V120&gt;1,X120&gt;0),MAX(0,(X120-(V120-1))/X120),0)</f>
        <v>0</v>
      </c>
      <c r="AB120" s="16" t="n">
        <f aca="false">IF(SUM($S$119:$S$119)&gt;0,SUMPRODUCT($S$119:$S$119,$N$119:$N$119)/SUM($S$119:$S$119),0)</f>
        <v>-0.430782916092454</v>
      </c>
      <c r="AC120" s="16" t="n">
        <f aca="false">IF(SUM($S$119:$S$119)&gt;0,SQRT(1/SUM($S$119:$S$119)),0)</f>
        <v>0.248616719490289</v>
      </c>
    </row>
    <row r="121" customFormat="false" ht="15" hidden="false" customHeight="false" outlineLevel="0" collapsed="false">
      <c r="A121" s="15"/>
      <c r="B121" s="15" t="s">
        <v>103</v>
      </c>
      <c r="C121" s="15"/>
      <c r="D121" s="15"/>
      <c r="E121" s="15"/>
      <c r="F121" s="15"/>
      <c r="G121" s="15"/>
      <c r="H121" s="15"/>
      <c r="I121" s="15"/>
      <c r="J121" s="15" t="s">
        <v>102</v>
      </c>
      <c r="K121" s="16" t="n">
        <f aca="false">IF(V121&gt;0,EXP(AB121),"")</f>
        <v>0.65</v>
      </c>
      <c r="L121" s="16" t="n">
        <f aca="false">IF(V121&gt;0,EXP(AB121-1.959964*AC121),"")</f>
        <v>0.399291825942068</v>
      </c>
      <c r="M121" s="16" t="n">
        <f aca="false">IF(V121&gt;0,EXP(AB121+1.959964*AC121),"")</f>
        <v>1.05812333874648</v>
      </c>
      <c r="N121" s="15"/>
      <c r="O121" s="15"/>
      <c r="P121" s="15"/>
      <c r="Q121" s="15"/>
      <c r="R121" s="15"/>
      <c r="S121" s="15"/>
      <c r="T121" s="15"/>
      <c r="U121" s="15"/>
      <c r="V121" s="15" t="n">
        <f aca="false">SUM($R$119:$R$119)</f>
        <v>1</v>
      </c>
      <c r="W121" s="16" t="n">
        <f aca="false">IF(V121&gt;0,SUMPRODUCT($R$119:$R$119,$P$119:$P$119,$N$119:$N$119)/SUMPRODUCT($R$119:$R$119,$P$119:$P$119),0)</f>
        <v>-0.430782916092454</v>
      </c>
      <c r="X121" s="16" t="n">
        <f aca="false">IF(V121&gt;1,SUMPRODUCT($R$119:$R$119,$P$119:$P$119,($N$119:$N$119-W121)^2),0)</f>
        <v>0</v>
      </c>
      <c r="Y121" s="16" t="n">
        <f aca="false">IF(V121&gt;1,SUMPRODUCT($R$119:$R$119,$P$119:$P$119)-SUMPRODUCT($R$119:$R$119,$P$119:$P$119,$P$119:$P$119)/SUMPRODUCT($R$119:$R$119,$P$119:$P$119),0)</f>
        <v>0</v>
      </c>
      <c r="Z121" s="16" t="n">
        <f aca="false">IF(Y121&gt;0,MAX(0,(X121-(V121-1))/Y121),0)</f>
        <v>0</v>
      </c>
      <c r="AA121" s="17" t="n">
        <f aca="false">IF(AND(V121&gt;1,X121&gt;0),MAX(0,(X121-(V121-1))/X121),0)</f>
        <v>0</v>
      </c>
      <c r="AB121" s="16" t="n">
        <f aca="false">IF(SUM($T$119:$T$119)&gt;0,SUMPRODUCT($T$119:$T$119,$N$119:$N$119)/SUM($T$119:$T$119),0)</f>
        <v>-0.430782916092454</v>
      </c>
      <c r="AC121" s="16" t="n">
        <f aca="false">IF(SUM($T$119:$T$119)&gt;0,SQRT(1/SUM($T$119:$T$119)),0)</f>
        <v>0.248616719490289</v>
      </c>
    </row>
    <row r="123" customFormat="false" ht="15" hidden="false" customHeight="false" outlineLevel="0" collapsed="false">
      <c r="A123" s="8" t="s">
        <v>250</v>
      </c>
      <c r="B123" s="9"/>
      <c r="C123" s="9"/>
      <c r="D123" s="9"/>
      <c r="E123" s="9"/>
      <c r="F123" s="9"/>
      <c r="G123" s="9"/>
      <c r="H123" s="9"/>
      <c r="I123" s="9"/>
      <c r="J123" s="9"/>
      <c r="K123" s="9"/>
      <c r="L123" s="9"/>
      <c r="M123" s="9"/>
      <c r="N123" s="9"/>
      <c r="O123" s="9"/>
      <c r="P123" s="9"/>
      <c r="Q123" s="9"/>
      <c r="R123" s="9"/>
      <c r="S123" s="9"/>
      <c r="T123" s="9"/>
      <c r="U123" s="9"/>
    </row>
    <row r="124" customFormat="false" ht="15" hidden="false" customHeight="false" outlineLevel="0" collapsed="false">
      <c r="A124" s="10" t="s">
        <v>250</v>
      </c>
      <c r="B124" s="10" t="s">
        <v>73</v>
      </c>
      <c r="C124" s="10" t="n">
        <v>1995</v>
      </c>
      <c r="D124" s="10" t="s">
        <v>74</v>
      </c>
      <c r="E124" s="10" t="s">
        <v>75</v>
      </c>
      <c r="F124" s="10" t="s">
        <v>57</v>
      </c>
      <c r="G124" s="10" t="s">
        <v>76</v>
      </c>
      <c r="H124" s="10" t="n">
        <v>25</v>
      </c>
      <c r="I124" s="10" t="n">
        <v>50</v>
      </c>
      <c r="J124" s="10" t="s">
        <v>59</v>
      </c>
      <c r="K124" s="11" t="n">
        <v>1.86</v>
      </c>
      <c r="L124" s="11" t="n">
        <v>1.2</v>
      </c>
      <c r="M124" s="11" t="n">
        <v>2.88</v>
      </c>
      <c r="N124" s="12" t="n">
        <f aca="false">LN(K124)</f>
        <v>0.62057648772511</v>
      </c>
      <c r="O124" s="12" t="n">
        <f aca="false">(LN(M124)-LN(L124))/(2*1.959964)</f>
        <v>0.223337963695736</v>
      </c>
      <c r="P124" s="12" t="n">
        <f aca="false">IF(O124&gt;0,1/O124^2,0)</f>
        <v>20.0481773629274</v>
      </c>
      <c r="Q124" s="13" t="n">
        <v>0</v>
      </c>
      <c r="R124" s="13" t="n">
        <v>0</v>
      </c>
      <c r="S124" s="12" t="n">
        <f aca="false">IF(Q124=1,1/(O124^2+$Z$126),0)</f>
        <v>0</v>
      </c>
      <c r="T124" s="12" t="n">
        <f aca="false">IF(R124=1,1/(O124^2+$Z$127),0)</f>
        <v>0</v>
      </c>
      <c r="U124" s="14" t="s">
        <v>145</v>
      </c>
    </row>
    <row r="125" customFormat="false" ht="15" hidden="false" customHeight="false" outlineLevel="0" collapsed="false">
      <c r="A125" s="10" t="s">
        <v>250</v>
      </c>
      <c r="B125" s="10" t="s">
        <v>189</v>
      </c>
      <c r="C125" s="10" t="n">
        <v>2005</v>
      </c>
      <c r="D125" s="10" t="s">
        <v>88</v>
      </c>
      <c r="E125" s="10" t="s">
        <v>190</v>
      </c>
      <c r="F125" s="10" t="s">
        <v>64</v>
      </c>
      <c r="G125" s="10" t="s">
        <v>251</v>
      </c>
      <c r="H125" s="10"/>
      <c r="I125" s="10"/>
      <c r="J125" s="10" t="s">
        <v>59</v>
      </c>
      <c r="K125" s="11" t="n">
        <v>1.06</v>
      </c>
      <c r="L125" s="11" t="n">
        <v>0.76</v>
      </c>
      <c r="M125" s="11" t="n">
        <v>1.48</v>
      </c>
      <c r="N125" s="12" t="n">
        <f aca="false">LN(K125)</f>
        <v>0.0582689081239758</v>
      </c>
      <c r="O125" s="12" t="n">
        <f aca="false">(LN(M125)-LN(L125))/(2*1.959964)</f>
        <v>0.170023258967457</v>
      </c>
      <c r="P125" s="12" t="n">
        <f aca="false">IF(O125&gt;0,1/O125^2,0)</f>
        <v>34.592609731334</v>
      </c>
      <c r="Q125" s="13" t="n">
        <v>1</v>
      </c>
      <c r="R125" s="13" t="n">
        <v>1</v>
      </c>
      <c r="S125" s="12" t="n">
        <f aca="false">IF(Q125=1,1/(O125^2+$Z$126),0)</f>
        <v>34.592609731334</v>
      </c>
      <c r="T125" s="12" t="n">
        <f aca="false">IF(R125=1,1/(O125^2+$Z$127),0)</f>
        <v>34.592609731334</v>
      </c>
      <c r="U125" s="14"/>
    </row>
    <row r="126" customFormat="false" ht="15" hidden="false" customHeight="false" outlineLevel="0" collapsed="false">
      <c r="A126" s="15"/>
      <c r="B126" s="15" t="s">
        <v>101</v>
      </c>
      <c r="C126" s="15"/>
      <c r="D126" s="15"/>
      <c r="E126" s="15"/>
      <c r="F126" s="15"/>
      <c r="G126" s="15"/>
      <c r="H126" s="15"/>
      <c r="I126" s="15"/>
      <c r="J126" s="15" t="s">
        <v>102</v>
      </c>
      <c r="K126" s="16" t="n">
        <f aca="false">IF(V126&gt;0,EXP(AB126),"")</f>
        <v>1.06</v>
      </c>
      <c r="L126" s="16" t="n">
        <f aca="false">IF(V126&gt;0,EXP(AB126-1.959964*AC126),"")</f>
        <v>0.759594486409547</v>
      </c>
      <c r="M126" s="16" t="n">
        <f aca="false">IF(V126&gt;0,EXP(AB126+1.959964*AC126),"")</f>
        <v>1.47921031563964</v>
      </c>
      <c r="N126" s="15"/>
      <c r="O126" s="15"/>
      <c r="P126" s="15"/>
      <c r="Q126" s="15"/>
      <c r="R126" s="15"/>
      <c r="S126" s="15"/>
      <c r="T126" s="15"/>
      <c r="U126" s="15"/>
      <c r="V126" s="15" t="n">
        <f aca="false">SUM($Q$124:$Q$125)</f>
        <v>1</v>
      </c>
      <c r="W126" s="16" t="n">
        <f aca="false">IF(V126&gt;0,SUMPRODUCT($Q$124:$Q$125,$P$124:$P$125,$N$124:$N$125)/SUMPRODUCT($Q$124:$Q$125,$P$124:$P$125),0)</f>
        <v>0.0582689081239758</v>
      </c>
      <c r="X126" s="16" t="n">
        <f aca="false">IF(V126&gt;1,SUMPRODUCT($Q$124:$Q$125,$P$124:$P$125,($N$124:$N$125-W126)^2),0)</f>
        <v>0</v>
      </c>
      <c r="Y126" s="16" t="n">
        <f aca="false">IF(V126&gt;1,SUMPRODUCT($Q$124:$Q$125,$P$124:$P$125)-SUMPRODUCT($Q$124:$Q$125,$P$124:$P$125,$P$124:$P$125)/SUMPRODUCT($Q$124:$Q$125,$P$124:$P$125),0)</f>
        <v>0</v>
      </c>
      <c r="Z126" s="16" t="n">
        <f aca="false">IF(Y126&gt;0,MAX(0,(X126-(V126-1))/Y126),0)</f>
        <v>0</v>
      </c>
      <c r="AA126" s="17" t="n">
        <f aca="false">IF(AND(V126&gt;1,X126&gt;0),MAX(0,(X126-(V126-1))/X126),0)</f>
        <v>0</v>
      </c>
      <c r="AB126" s="16" t="n">
        <f aca="false">IF(SUM($S$124:$S$125)&gt;0,SUMPRODUCT($S$124:$S$125,$N$124:$N$125)/SUM($S$124:$S$125),0)</f>
        <v>0.0582689081239758</v>
      </c>
      <c r="AC126" s="16" t="n">
        <f aca="false">IF(SUM($S$124:$S$125)&gt;0,SQRT(1/SUM($S$124:$S$125)),0)</f>
        <v>0.170023258967457</v>
      </c>
    </row>
    <row r="127" customFormat="false" ht="15" hidden="false" customHeight="false" outlineLevel="0" collapsed="false">
      <c r="A127" s="15"/>
      <c r="B127" s="15" t="s">
        <v>103</v>
      </c>
      <c r="C127" s="15"/>
      <c r="D127" s="15"/>
      <c r="E127" s="15"/>
      <c r="F127" s="15"/>
      <c r="G127" s="15"/>
      <c r="H127" s="15"/>
      <c r="I127" s="15"/>
      <c r="J127" s="15" t="s">
        <v>102</v>
      </c>
      <c r="K127" s="16" t="n">
        <f aca="false">IF(V127&gt;0,EXP(AB127),"")</f>
        <v>1.06</v>
      </c>
      <c r="L127" s="16" t="n">
        <f aca="false">IF(V127&gt;0,EXP(AB127-1.959964*AC127),"")</f>
        <v>0.759594486409547</v>
      </c>
      <c r="M127" s="16" t="n">
        <f aca="false">IF(V127&gt;0,EXP(AB127+1.959964*AC127),"")</f>
        <v>1.47921031563964</v>
      </c>
      <c r="N127" s="15"/>
      <c r="O127" s="15"/>
      <c r="P127" s="15"/>
      <c r="Q127" s="15"/>
      <c r="R127" s="15"/>
      <c r="S127" s="15"/>
      <c r="T127" s="15"/>
      <c r="U127" s="15"/>
      <c r="V127" s="15" t="n">
        <f aca="false">SUM($R$124:$R$125)</f>
        <v>1</v>
      </c>
      <c r="W127" s="16" t="n">
        <f aca="false">IF(V127&gt;0,SUMPRODUCT($R$124:$R$125,$P$124:$P$125,$N$124:$N$125)/SUMPRODUCT($R$124:$R$125,$P$124:$P$125),0)</f>
        <v>0.0582689081239758</v>
      </c>
      <c r="X127" s="16" t="n">
        <f aca="false">IF(V127&gt;1,SUMPRODUCT($R$124:$R$125,$P$124:$P$125,($N$124:$N$125-W127)^2),0)</f>
        <v>0</v>
      </c>
      <c r="Y127" s="16" t="n">
        <f aca="false">IF(V127&gt;1,SUMPRODUCT($R$124:$R$125,$P$124:$P$125)-SUMPRODUCT($R$124:$R$125,$P$124:$P$125,$P$124:$P$125)/SUMPRODUCT($R$124:$R$125,$P$124:$P$125),0)</f>
        <v>0</v>
      </c>
      <c r="Z127" s="16" t="n">
        <f aca="false">IF(Y127&gt;0,MAX(0,(X127-(V127-1))/Y127),0)</f>
        <v>0</v>
      </c>
      <c r="AA127" s="17" t="n">
        <f aca="false">IF(AND(V127&gt;1,X127&gt;0),MAX(0,(X127-(V127-1))/X127),0)</f>
        <v>0</v>
      </c>
      <c r="AB127" s="16" t="n">
        <f aca="false">IF(SUM($T$124:$T$125)&gt;0,SUMPRODUCT($T$124:$T$125,$N$124:$N$125)/SUM($T$124:$T$125),0)</f>
        <v>0.0582689081239758</v>
      </c>
      <c r="AC127" s="16" t="n">
        <f aca="false">IF(SUM($T$124:$T$125)&gt;0,SQRT(1/SUM($T$124:$T$125)),0)</f>
        <v>0.170023258967457</v>
      </c>
    </row>
    <row r="129" customFormat="false" ht="15" hidden="false" customHeight="false" outlineLevel="0" collapsed="false">
      <c r="A129" s="8" t="s">
        <v>252</v>
      </c>
      <c r="B129" s="9"/>
      <c r="C129" s="9"/>
      <c r="D129" s="9"/>
      <c r="E129" s="9"/>
      <c r="F129" s="9"/>
      <c r="G129" s="9"/>
      <c r="H129" s="9"/>
      <c r="I129" s="9"/>
      <c r="J129" s="9"/>
      <c r="K129" s="9"/>
      <c r="L129" s="9"/>
      <c r="M129" s="9"/>
      <c r="N129" s="9"/>
      <c r="O129" s="9"/>
      <c r="P129" s="9"/>
      <c r="Q129" s="9"/>
      <c r="R129" s="9"/>
      <c r="S129" s="9"/>
      <c r="T129" s="9"/>
      <c r="U129" s="9"/>
    </row>
    <row r="130" customFormat="false" ht="15" hidden="false" customHeight="false" outlineLevel="0" collapsed="false">
      <c r="A130" s="10" t="s">
        <v>252</v>
      </c>
      <c r="B130" s="10" t="s">
        <v>93</v>
      </c>
      <c r="C130" s="10" t="n">
        <v>2010</v>
      </c>
      <c r="D130" s="10" t="s">
        <v>88</v>
      </c>
      <c r="E130" s="10" t="s">
        <v>122</v>
      </c>
      <c r="F130" s="10" t="s">
        <v>57</v>
      </c>
      <c r="G130" s="10" t="s">
        <v>167</v>
      </c>
      <c r="H130" s="10" t="n">
        <v>1.59</v>
      </c>
      <c r="I130" s="10" t="n">
        <v>10.88</v>
      </c>
      <c r="J130" s="10" t="s">
        <v>59</v>
      </c>
      <c r="K130" s="11" t="n">
        <v>2.18</v>
      </c>
      <c r="L130" s="11" t="n">
        <v>0.83</v>
      </c>
      <c r="M130" s="11" t="n">
        <v>5.76</v>
      </c>
      <c r="N130" s="12" t="n">
        <f aca="false">LN(K130)</f>
        <v>0.779324876800998</v>
      </c>
      <c r="O130" s="12" t="n">
        <f aca="false">(LN(M130)-LN(L130))/(2*1.959964)</f>
        <v>0.494209856124728</v>
      </c>
      <c r="P130" s="12" t="n">
        <f aca="false">IF(O130&gt;0,1/O130^2,0)</f>
        <v>4.09427675074936</v>
      </c>
      <c r="Q130" s="13" t="n">
        <v>1</v>
      </c>
      <c r="R130" s="13" t="n">
        <v>1</v>
      </c>
      <c r="S130" s="12" t="n">
        <f aca="false">IF(Q130=1,1/(O130^2+$Z$131),0)</f>
        <v>4.09427675074936</v>
      </c>
      <c r="T130" s="12" t="n">
        <f aca="false">IF(R130=1,1/(O130^2+$Z$132),0)</f>
        <v>4.09427675074936</v>
      </c>
      <c r="U130" s="14" t="s">
        <v>253</v>
      </c>
    </row>
    <row r="131" customFormat="false" ht="15" hidden="false" customHeight="false" outlineLevel="0" collapsed="false">
      <c r="A131" s="15"/>
      <c r="B131" s="15" t="s">
        <v>101</v>
      </c>
      <c r="C131" s="15"/>
      <c r="D131" s="15"/>
      <c r="E131" s="15"/>
      <c r="F131" s="15"/>
      <c r="G131" s="15"/>
      <c r="H131" s="15"/>
      <c r="I131" s="15"/>
      <c r="J131" s="15" t="s">
        <v>102</v>
      </c>
      <c r="K131" s="16" t="n">
        <f aca="false">IF(V131&gt;0,EXP(AB131),"")</f>
        <v>2.18</v>
      </c>
      <c r="L131" s="16" t="n">
        <f aca="false">IF(V131&gt;0,EXP(AB131-1.959964*AC131),"")</f>
        <v>0.827531050105607</v>
      </c>
      <c r="M131" s="16" t="n">
        <f aca="false">IF(V131&gt;0,EXP(AB131+1.959964*AC131),"")</f>
        <v>5.7428660826606</v>
      </c>
      <c r="N131" s="15"/>
      <c r="O131" s="15"/>
      <c r="P131" s="15"/>
      <c r="Q131" s="15"/>
      <c r="R131" s="15"/>
      <c r="S131" s="15"/>
      <c r="T131" s="15"/>
      <c r="U131" s="15"/>
      <c r="V131" s="15" t="n">
        <f aca="false">SUM($Q$130:$Q$130)</f>
        <v>1</v>
      </c>
      <c r="W131" s="16" t="n">
        <f aca="false">IF(V131&gt;0,SUMPRODUCT($Q$130:$Q$130,$P$130:$P$130,$N$130:$N$130)/SUMPRODUCT($Q$130:$Q$130,$P$130:$P$130),0)</f>
        <v>0.779324876800998</v>
      </c>
      <c r="X131" s="16" t="n">
        <f aca="false">IF(V131&gt;1,SUMPRODUCT($Q$130:$Q$130,$P$130:$P$130,($N$130:$N$130-W131)^2),0)</f>
        <v>0</v>
      </c>
      <c r="Y131" s="16" t="n">
        <f aca="false">IF(V131&gt;1,SUMPRODUCT($Q$130:$Q$130,$P$130:$P$130)-SUMPRODUCT($Q$130:$Q$130,$P$130:$P$130,$P$130:$P$130)/SUMPRODUCT($Q$130:$Q$130,$P$130:$P$130),0)</f>
        <v>0</v>
      </c>
      <c r="Z131" s="16" t="n">
        <f aca="false">IF(Y131&gt;0,MAX(0,(X131-(V131-1))/Y131),0)</f>
        <v>0</v>
      </c>
      <c r="AA131" s="17" t="n">
        <f aca="false">IF(AND(V131&gt;1,X131&gt;0),MAX(0,(X131-(V131-1))/X131),0)</f>
        <v>0</v>
      </c>
      <c r="AB131" s="16" t="n">
        <f aca="false">IF(SUM($S$130:$S$130)&gt;0,SUMPRODUCT($S$130:$S$130,$N$130:$N$130)/SUM($S$130:$S$130),0)</f>
        <v>0.779324876800998</v>
      </c>
      <c r="AC131" s="16" t="n">
        <f aca="false">IF(SUM($S$130:$S$130)&gt;0,SQRT(1/SUM($S$130:$S$130)),0)</f>
        <v>0.494209856124728</v>
      </c>
    </row>
    <row r="132" customFormat="false" ht="15" hidden="false" customHeight="false" outlineLevel="0" collapsed="false">
      <c r="A132" s="15"/>
      <c r="B132" s="15" t="s">
        <v>103</v>
      </c>
      <c r="C132" s="15"/>
      <c r="D132" s="15"/>
      <c r="E132" s="15"/>
      <c r="F132" s="15"/>
      <c r="G132" s="15"/>
      <c r="H132" s="15"/>
      <c r="I132" s="15"/>
      <c r="J132" s="15" t="s">
        <v>102</v>
      </c>
      <c r="K132" s="16" t="n">
        <f aca="false">IF(V132&gt;0,EXP(AB132),"")</f>
        <v>2.18</v>
      </c>
      <c r="L132" s="16" t="n">
        <f aca="false">IF(V132&gt;0,EXP(AB132-1.959964*AC132),"")</f>
        <v>0.827531050105607</v>
      </c>
      <c r="M132" s="16" t="n">
        <f aca="false">IF(V132&gt;0,EXP(AB132+1.959964*AC132),"")</f>
        <v>5.7428660826606</v>
      </c>
      <c r="N132" s="15"/>
      <c r="O132" s="15"/>
      <c r="P132" s="15"/>
      <c r="Q132" s="15"/>
      <c r="R132" s="15"/>
      <c r="S132" s="15"/>
      <c r="T132" s="15"/>
      <c r="U132" s="15"/>
      <c r="V132" s="15" t="n">
        <f aca="false">SUM($R$130:$R$130)</f>
        <v>1</v>
      </c>
      <c r="W132" s="16" t="n">
        <f aca="false">IF(V132&gt;0,SUMPRODUCT($R$130:$R$130,$P$130:$P$130,$N$130:$N$130)/SUMPRODUCT($R$130:$R$130,$P$130:$P$130),0)</f>
        <v>0.779324876800998</v>
      </c>
      <c r="X132" s="16" t="n">
        <f aca="false">IF(V132&gt;1,SUMPRODUCT($R$130:$R$130,$P$130:$P$130,($N$130:$N$130-W132)^2),0)</f>
        <v>0</v>
      </c>
      <c r="Y132" s="16" t="n">
        <f aca="false">IF(V132&gt;1,SUMPRODUCT($R$130:$R$130,$P$130:$P$130)-SUMPRODUCT($R$130:$R$130,$P$130:$P$130,$P$130:$P$130)/SUMPRODUCT($R$130:$R$130,$P$130:$P$130),0)</f>
        <v>0</v>
      </c>
      <c r="Z132" s="16" t="n">
        <f aca="false">IF(Y132&gt;0,MAX(0,(X132-(V132-1))/Y132),0)</f>
        <v>0</v>
      </c>
      <c r="AA132" s="17" t="n">
        <f aca="false">IF(AND(V132&gt;1,X132&gt;0),MAX(0,(X132-(V132-1))/X132),0)</f>
        <v>0</v>
      </c>
      <c r="AB132" s="16" t="n">
        <f aca="false">IF(SUM($T$130:$T$130)&gt;0,SUMPRODUCT($T$130:$T$130,$N$130:$N$130)/SUM($T$130:$T$130),0)</f>
        <v>0.779324876800998</v>
      </c>
      <c r="AC132" s="16" t="n">
        <f aca="false">IF(SUM($T$130:$T$130)&gt;0,SQRT(1/SUM($T$130:$T$130)),0)</f>
        <v>0.494209856124728</v>
      </c>
    </row>
    <row r="134" customFormat="false" ht="15" hidden="false" customHeight="false" outlineLevel="0" collapsed="false">
      <c r="A134" s="8" t="s">
        <v>254</v>
      </c>
      <c r="B134" s="9"/>
      <c r="C134" s="9"/>
      <c r="D134" s="9"/>
      <c r="E134" s="9"/>
      <c r="F134" s="9"/>
      <c r="G134" s="9"/>
      <c r="H134" s="9"/>
      <c r="I134" s="9"/>
      <c r="J134" s="9"/>
      <c r="K134" s="9"/>
      <c r="L134" s="9"/>
      <c r="M134" s="9"/>
      <c r="N134" s="9"/>
      <c r="O134" s="9"/>
      <c r="P134" s="9"/>
      <c r="Q134" s="9"/>
      <c r="R134" s="9"/>
      <c r="S134" s="9"/>
      <c r="T134" s="9"/>
      <c r="U134" s="9"/>
    </row>
    <row r="135" customFormat="false" ht="15" hidden="false" customHeight="false" outlineLevel="0" collapsed="false">
      <c r="A135" s="10" t="s">
        <v>254</v>
      </c>
      <c r="B135" s="10" t="s">
        <v>154</v>
      </c>
      <c r="C135" s="10" t="n">
        <v>2001</v>
      </c>
      <c r="D135" s="10" t="s">
        <v>88</v>
      </c>
      <c r="E135" s="10" t="s">
        <v>122</v>
      </c>
      <c r="F135" s="10" t="s">
        <v>57</v>
      </c>
      <c r="G135" s="10" t="s">
        <v>167</v>
      </c>
      <c r="H135" s="10" t="n">
        <v>1.59</v>
      </c>
      <c r="I135" s="10" t="n">
        <v>10.88</v>
      </c>
      <c r="J135" s="10" t="s">
        <v>59</v>
      </c>
      <c r="K135" s="11" t="n">
        <v>0.83</v>
      </c>
      <c r="L135" s="11" t="n">
        <v>0.55</v>
      </c>
      <c r="M135" s="11" t="n">
        <v>1.26</v>
      </c>
      <c r="N135" s="12" t="n">
        <f aca="false">LN(K135)</f>
        <v>-0.186329578191493</v>
      </c>
      <c r="O135" s="12" t="n">
        <f aca="false">(LN(M135)-LN(L135))/(2*1.959964)</f>
        <v>0.211470394792712</v>
      </c>
      <c r="P135" s="12" t="n">
        <f aca="false">IF(O135&gt;0,1/O135^2,0)</f>
        <v>22.3614956428703</v>
      </c>
      <c r="Q135" s="13" t="n">
        <v>1</v>
      </c>
      <c r="R135" s="13" t="n">
        <v>1</v>
      </c>
      <c r="S135" s="12" t="n">
        <f aca="false">IF(Q135=1,1/(O135^2+$Z$136),0)</f>
        <v>22.3614956428703</v>
      </c>
      <c r="T135" s="12" t="n">
        <f aca="false">IF(R135=1,1/(O135^2+$Z$137),0)</f>
        <v>22.3614956428703</v>
      </c>
      <c r="U135" s="14" t="s">
        <v>255</v>
      </c>
    </row>
    <row r="136" customFormat="false" ht="15" hidden="false" customHeight="false" outlineLevel="0" collapsed="false">
      <c r="A136" s="15"/>
      <c r="B136" s="15" t="s">
        <v>101</v>
      </c>
      <c r="C136" s="15"/>
      <c r="D136" s="15"/>
      <c r="E136" s="15"/>
      <c r="F136" s="15"/>
      <c r="G136" s="15"/>
      <c r="H136" s="15"/>
      <c r="I136" s="15"/>
      <c r="J136" s="15" t="s">
        <v>102</v>
      </c>
      <c r="K136" s="16" t="n">
        <f aca="false">IF(V136&gt;0,EXP(AB136),"")</f>
        <v>0.83</v>
      </c>
      <c r="L136" s="16" t="n">
        <f aca="false">IF(V136&gt;0,EXP(AB136-1.959964*AC136),"")</f>
        <v>0.54837060229403</v>
      </c>
      <c r="M136" s="16" t="n">
        <f aca="false">IF(V136&gt;0,EXP(AB136+1.959964*AC136),"")</f>
        <v>1.25626719798269</v>
      </c>
      <c r="N136" s="15"/>
      <c r="O136" s="15"/>
      <c r="P136" s="15"/>
      <c r="Q136" s="15"/>
      <c r="R136" s="15"/>
      <c r="S136" s="15"/>
      <c r="T136" s="15"/>
      <c r="U136" s="15"/>
      <c r="V136" s="15" t="n">
        <f aca="false">SUM($Q$135:$Q$135)</f>
        <v>1</v>
      </c>
      <c r="W136" s="16" t="n">
        <f aca="false">IF(V136&gt;0,SUMPRODUCT($Q$135:$Q$135,$P$135:$P$135,$N$135:$N$135)/SUMPRODUCT($Q$135:$Q$135,$P$135:$P$135),0)</f>
        <v>-0.186329578191493</v>
      </c>
      <c r="X136" s="16" t="n">
        <f aca="false">IF(V136&gt;1,SUMPRODUCT($Q$135:$Q$135,$P$135:$P$135,($N$135:$N$135-W136)^2),0)</f>
        <v>0</v>
      </c>
      <c r="Y136" s="16" t="n">
        <f aca="false">IF(V136&gt;1,SUMPRODUCT($Q$135:$Q$135,$P$135:$P$135)-SUMPRODUCT($Q$135:$Q$135,$P$135:$P$135,$P$135:$P$135)/SUMPRODUCT($Q$135:$Q$135,$P$135:$P$135),0)</f>
        <v>0</v>
      </c>
      <c r="Z136" s="16" t="n">
        <f aca="false">IF(Y136&gt;0,MAX(0,(X136-(V136-1))/Y136),0)</f>
        <v>0</v>
      </c>
      <c r="AA136" s="17" t="n">
        <f aca="false">IF(AND(V136&gt;1,X136&gt;0),MAX(0,(X136-(V136-1))/X136),0)</f>
        <v>0</v>
      </c>
      <c r="AB136" s="16" t="n">
        <f aca="false">IF(SUM($S$135:$S$135)&gt;0,SUMPRODUCT($S$135:$S$135,$N$135:$N$135)/SUM($S$135:$S$135),0)</f>
        <v>-0.186329578191493</v>
      </c>
      <c r="AC136" s="16" t="n">
        <f aca="false">IF(SUM($S$135:$S$135)&gt;0,SQRT(1/SUM($S$135:$S$135)),0)</f>
        <v>0.211470394792712</v>
      </c>
    </row>
    <row r="137" customFormat="false" ht="15" hidden="false" customHeight="false" outlineLevel="0" collapsed="false">
      <c r="A137" s="15"/>
      <c r="B137" s="15" t="s">
        <v>103</v>
      </c>
      <c r="C137" s="15"/>
      <c r="D137" s="15"/>
      <c r="E137" s="15"/>
      <c r="F137" s="15"/>
      <c r="G137" s="15"/>
      <c r="H137" s="15"/>
      <c r="I137" s="15"/>
      <c r="J137" s="15" t="s">
        <v>102</v>
      </c>
      <c r="K137" s="16" t="n">
        <f aca="false">IF(V137&gt;0,EXP(AB137),"")</f>
        <v>0.83</v>
      </c>
      <c r="L137" s="16" t="n">
        <f aca="false">IF(V137&gt;0,EXP(AB137-1.959964*AC137),"")</f>
        <v>0.54837060229403</v>
      </c>
      <c r="M137" s="16" t="n">
        <f aca="false">IF(V137&gt;0,EXP(AB137+1.959964*AC137),"")</f>
        <v>1.25626719798269</v>
      </c>
      <c r="N137" s="15"/>
      <c r="O137" s="15"/>
      <c r="P137" s="15"/>
      <c r="Q137" s="15"/>
      <c r="R137" s="15"/>
      <c r="S137" s="15"/>
      <c r="T137" s="15"/>
      <c r="U137" s="15"/>
      <c r="V137" s="15" t="n">
        <f aca="false">SUM($R$135:$R$135)</f>
        <v>1</v>
      </c>
      <c r="W137" s="16" t="n">
        <f aca="false">IF(V137&gt;0,SUMPRODUCT($R$135:$R$135,$P$135:$P$135,$N$135:$N$135)/SUMPRODUCT($R$135:$R$135,$P$135:$P$135),0)</f>
        <v>-0.186329578191493</v>
      </c>
      <c r="X137" s="16" t="n">
        <f aca="false">IF(V137&gt;1,SUMPRODUCT($R$135:$R$135,$P$135:$P$135,($N$135:$N$135-W137)^2),0)</f>
        <v>0</v>
      </c>
      <c r="Y137" s="16" t="n">
        <f aca="false">IF(V137&gt;1,SUMPRODUCT($R$135:$R$135,$P$135:$P$135)-SUMPRODUCT($R$135:$R$135,$P$135:$P$135,$P$135:$P$135)/SUMPRODUCT($R$135:$R$135,$P$135:$P$135),0)</f>
        <v>0</v>
      </c>
      <c r="Z137" s="16" t="n">
        <f aca="false">IF(Y137&gt;0,MAX(0,(X137-(V137-1))/Y137),0)</f>
        <v>0</v>
      </c>
      <c r="AA137" s="17" t="n">
        <f aca="false">IF(AND(V137&gt;1,X137&gt;0),MAX(0,(X137-(V137-1))/X137),0)</f>
        <v>0</v>
      </c>
      <c r="AB137" s="16" t="n">
        <f aca="false">IF(SUM($T$135:$T$135)&gt;0,SUMPRODUCT($T$135:$T$135,$N$135:$N$135)/SUM($T$135:$T$135),0)</f>
        <v>-0.186329578191493</v>
      </c>
      <c r="AC137" s="16" t="n">
        <f aca="false">IF(SUM($T$135:$T$135)&gt;0,SQRT(1/SUM($T$135:$T$135)),0)</f>
        <v>0.211470394792712</v>
      </c>
    </row>
    <row r="139" customFormat="false" ht="15" hidden="false" customHeight="false" outlineLevel="0" collapsed="false">
      <c r="A139" s="8" t="s">
        <v>256</v>
      </c>
      <c r="B139" s="9"/>
      <c r="C139" s="9"/>
      <c r="D139" s="9"/>
      <c r="E139" s="9"/>
      <c r="F139" s="9"/>
      <c r="G139" s="9"/>
      <c r="H139" s="9"/>
      <c r="I139" s="9"/>
      <c r="J139" s="9"/>
      <c r="K139" s="9"/>
      <c r="L139" s="9"/>
      <c r="M139" s="9"/>
      <c r="N139" s="9"/>
      <c r="O139" s="9"/>
      <c r="P139" s="9"/>
      <c r="Q139" s="9"/>
      <c r="R139" s="9"/>
      <c r="S139" s="9"/>
      <c r="T139" s="9"/>
      <c r="U139" s="9"/>
    </row>
    <row r="140" customFormat="false" ht="15" hidden="false" customHeight="false" outlineLevel="0" collapsed="false">
      <c r="A140" s="10" t="s">
        <v>256</v>
      </c>
      <c r="B140" s="10" t="s">
        <v>154</v>
      </c>
      <c r="C140" s="10" t="n">
        <v>2001</v>
      </c>
      <c r="D140" s="10" t="s">
        <v>88</v>
      </c>
      <c r="E140" s="10" t="s">
        <v>122</v>
      </c>
      <c r="F140" s="10" t="s">
        <v>57</v>
      </c>
      <c r="G140" s="10" t="s">
        <v>167</v>
      </c>
      <c r="H140" s="10" t="n">
        <v>1.59</v>
      </c>
      <c r="I140" s="10" t="n">
        <v>10.88</v>
      </c>
      <c r="J140" s="10" t="s">
        <v>59</v>
      </c>
      <c r="K140" s="11" t="n">
        <v>0.92</v>
      </c>
      <c r="L140" s="11" t="n">
        <v>0.59</v>
      </c>
      <c r="M140" s="11" t="n">
        <v>1.42</v>
      </c>
      <c r="N140" s="12" t="n">
        <f aca="false">LN(K140)</f>
        <v>-0.083381608939051</v>
      </c>
      <c r="O140" s="12" t="n">
        <f aca="false">(LN(M140)-LN(L140))/(2*1.959964)</f>
        <v>0.224057588224973</v>
      </c>
      <c r="P140" s="12" t="n">
        <f aca="false">IF(O140&gt;0,1/O140^2,0)</f>
        <v>19.9196033489754</v>
      </c>
      <c r="Q140" s="13" t="n">
        <v>1</v>
      </c>
      <c r="R140" s="13" t="n">
        <v>1</v>
      </c>
      <c r="S140" s="12" t="n">
        <f aca="false">IF(Q140=1,1/(O140^2+$Z$141),0)</f>
        <v>19.9196033489754</v>
      </c>
      <c r="T140" s="12" t="n">
        <f aca="false">IF(R140=1,1/(O140^2+$Z$142),0)</f>
        <v>19.9196033489754</v>
      </c>
      <c r="U140" s="14" t="s">
        <v>257</v>
      </c>
    </row>
    <row r="141" customFormat="false" ht="15" hidden="false" customHeight="false" outlineLevel="0" collapsed="false">
      <c r="A141" s="15"/>
      <c r="B141" s="15" t="s">
        <v>101</v>
      </c>
      <c r="C141" s="15"/>
      <c r="D141" s="15"/>
      <c r="E141" s="15"/>
      <c r="F141" s="15"/>
      <c r="G141" s="15"/>
      <c r="H141" s="15"/>
      <c r="I141" s="15"/>
      <c r="J141" s="15" t="s">
        <v>102</v>
      </c>
      <c r="K141" s="16" t="n">
        <f aca="false">IF(V141&gt;0,EXP(AB141),"")</f>
        <v>0.92</v>
      </c>
      <c r="L141" s="16" t="n">
        <f aca="false">IF(V141&gt;0,EXP(AB141-1.959964*AC141),"")</f>
        <v>0.593020437621352</v>
      </c>
      <c r="M141" s="16" t="n">
        <f aca="false">IF(V141&gt;0,EXP(AB141+1.959964*AC141),"")</f>
        <v>1.42726952783444</v>
      </c>
      <c r="N141" s="15"/>
      <c r="O141" s="15"/>
      <c r="P141" s="15"/>
      <c r="Q141" s="15"/>
      <c r="R141" s="15"/>
      <c r="S141" s="15"/>
      <c r="T141" s="15"/>
      <c r="U141" s="15"/>
      <c r="V141" s="15" t="n">
        <f aca="false">SUM($Q$140:$Q$140)</f>
        <v>1</v>
      </c>
      <c r="W141" s="16" t="n">
        <f aca="false">IF(V141&gt;0,SUMPRODUCT($Q$140:$Q$140,$P$140:$P$140,$N$140:$N$140)/SUMPRODUCT($Q$140:$Q$140,$P$140:$P$140),0)</f>
        <v>-0.083381608939051</v>
      </c>
      <c r="X141" s="16" t="n">
        <f aca="false">IF(V141&gt;1,SUMPRODUCT($Q$140:$Q$140,$P$140:$P$140,($N$140:$N$140-W141)^2),0)</f>
        <v>0</v>
      </c>
      <c r="Y141" s="16" t="n">
        <f aca="false">IF(V141&gt;1,SUMPRODUCT($Q$140:$Q$140,$P$140:$P$140)-SUMPRODUCT($Q$140:$Q$140,$P$140:$P$140,$P$140:$P$140)/SUMPRODUCT($Q$140:$Q$140,$P$140:$P$140),0)</f>
        <v>0</v>
      </c>
      <c r="Z141" s="16" t="n">
        <f aca="false">IF(Y141&gt;0,MAX(0,(X141-(V141-1))/Y141),0)</f>
        <v>0</v>
      </c>
      <c r="AA141" s="17" t="n">
        <f aca="false">IF(AND(V141&gt;1,X141&gt;0),MAX(0,(X141-(V141-1))/X141),0)</f>
        <v>0</v>
      </c>
      <c r="AB141" s="16" t="n">
        <f aca="false">IF(SUM($S$140:$S$140)&gt;0,SUMPRODUCT($S$140:$S$140,$N$140:$N$140)/SUM($S$140:$S$140),0)</f>
        <v>-0.083381608939051</v>
      </c>
      <c r="AC141" s="16" t="n">
        <f aca="false">IF(SUM($S$140:$S$140)&gt;0,SQRT(1/SUM($S$140:$S$140)),0)</f>
        <v>0.224057588224973</v>
      </c>
    </row>
    <row r="142" customFormat="false" ht="15" hidden="false" customHeight="false" outlineLevel="0" collapsed="false">
      <c r="A142" s="15"/>
      <c r="B142" s="15" t="s">
        <v>103</v>
      </c>
      <c r="C142" s="15"/>
      <c r="D142" s="15"/>
      <c r="E142" s="15"/>
      <c r="F142" s="15"/>
      <c r="G142" s="15"/>
      <c r="H142" s="15"/>
      <c r="I142" s="15"/>
      <c r="J142" s="15" t="s">
        <v>102</v>
      </c>
      <c r="K142" s="16" t="n">
        <f aca="false">IF(V142&gt;0,EXP(AB142),"")</f>
        <v>0.92</v>
      </c>
      <c r="L142" s="16" t="n">
        <f aca="false">IF(V142&gt;0,EXP(AB142-1.959964*AC142),"")</f>
        <v>0.593020437621352</v>
      </c>
      <c r="M142" s="16" t="n">
        <f aca="false">IF(V142&gt;0,EXP(AB142+1.959964*AC142),"")</f>
        <v>1.42726952783444</v>
      </c>
      <c r="N142" s="15"/>
      <c r="O142" s="15"/>
      <c r="P142" s="15"/>
      <c r="Q142" s="15"/>
      <c r="R142" s="15"/>
      <c r="S142" s="15"/>
      <c r="T142" s="15"/>
      <c r="U142" s="15"/>
      <c r="V142" s="15" t="n">
        <f aca="false">SUM($R$140:$R$140)</f>
        <v>1</v>
      </c>
      <c r="W142" s="16" t="n">
        <f aca="false">IF(V142&gt;0,SUMPRODUCT($R$140:$R$140,$P$140:$P$140,$N$140:$N$140)/SUMPRODUCT($R$140:$R$140,$P$140:$P$140),0)</f>
        <v>-0.083381608939051</v>
      </c>
      <c r="X142" s="16" t="n">
        <f aca="false">IF(V142&gt;1,SUMPRODUCT($R$140:$R$140,$P$140:$P$140,($N$140:$N$140-W142)^2),0)</f>
        <v>0</v>
      </c>
      <c r="Y142" s="16" t="n">
        <f aca="false">IF(V142&gt;1,SUMPRODUCT($R$140:$R$140,$P$140:$P$140)-SUMPRODUCT($R$140:$R$140,$P$140:$P$140,$P$140:$P$140)/SUMPRODUCT($R$140:$R$140,$P$140:$P$140),0)</f>
        <v>0</v>
      </c>
      <c r="Z142" s="16" t="n">
        <f aca="false">IF(Y142&gt;0,MAX(0,(X142-(V142-1))/Y142),0)</f>
        <v>0</v>
      </c>
      <c r="AA142" s="17" t="n">
        <f aca="false">IF(AND(V142&gt;1,X142&gt;0),MAX(0,(X142-(V142-1))/X142),0)</f>
        <v>0</v>
      </c>
      <c r="AB142" s="16" t="n">
        <f aca="false">IF(SUM($T$140:$T$140)&gt;0,SUMPRODUCT($T$140:$T$140,$N$140:$N$140)/SUM($T$140:$T$140),0)</f>
        <v>-0.083381608939051</v>
      </c>
      <c r="AC142" s="16" t="n">
        <f aca="false">IF(SUM($T$140:$T$140)&gt;0,SQRT(1/SUM($T$140:$T$140)),0)</f>
        <v>0.224057588224973</v>
      </c>
    </row>
    <row r="144" customFormat="false" ht="15" hidden="false" customHeight="false" outlineLevel="0" collapsed="false">
      <c r="A144" s="8" t="s">
        <v>258</v>
      </c>
      <c r="B144" s="9"/>
      <c r="C144" s="9"/>
      <c r="D144" s="9"/>
      <c r="E144" s="9"/>
      <c r="F144" s="9"/>
      <c r="G144" s="9"/>
      <c r="H144" s="9"/>
      <c r="I144" s="9"/>
      <c r="J144" s="9"/>
      <c r="K144" s="9"/>
      <c r="L144" s="9"/>
      <c r="M144" s="9"/>
      <c r="N144" s="9"/>
      <c r="O144" s="9"/>
      <c r="P144" s="9"/>
      <c r="Q144" s="9"/>
      <c r="R144" s="9"/>
      <c r="S144" s="9"/>
      <c r="T144" s="9"/>
      <c r="U144" s="9"/>
    </row>
    <row r="145" customFormat="false" ht="15" hidden="false" customHeight="false" outlineLevel="0" collapsed="false">
      <c r="A145" s="10" t="s">
        <v>258</v>
      </c>
      <c r="B145" s="10" t="s">
        <v>189</v>
      </c>
      <c r="C145" s="10" t="n">
        <v>2005</v>
      </c>
      <c r="D145" s="10" t="s">
        <v>88</v>
      </c>
      <c r="E145" s="10" t="s">
        <v>190</v>
      </c>
      <c r="F145" s="10" t="s">
        <v>64</v>
      </c>
      <c r="G145" s="10" t="s">
        <v>191</v>
      </c>
      <c r="H145" s="10"/>
      <c r="I145" s="10"/>
      <c r="J145" s="10" t="s">
        <v>59</v>
      </c>
      <c r="K145" s="11" t="n">
        <v>1.98</v>
      </c>
      <c r="L145" s="11" t="n">
        <v>1.1</v>
      </c>
      <c r="M145" s="11" t="n">
        <v>3.54</v>
      </c>
      <c r="N145" s="12" t="n">
        <f aca="false">LN(K145)</f>
        <v>0.683096844706444</v>
      </c>
      <c r="O145" s="12" t="n">
        <f aca="false">(LN(M145)-LN(L145))/(2*1.959964)</f>
        <v>0.298172963212936</v>
      </c>
      <c r="P145" s="12" t="n">
        <f aca="false">IF(O145&gt;0,1/O145^2,0)</f>
        <v>11.2476936053034</v>
      </c>
      <c r="Q145" s="13" t="n">
        <v>1</v>
      </c>
      <c r="R145" s="13" t="n">
        <v>1</v>
      </c>
      <c r="S145" s="12" t="n">
        <f aca="false">IF(Q145=1,1/(O145^2+$Z$146),0)</f>
        <v>11.2476936053034</v>
      </c>
      <c r="T145" s="12" t="n">
        <f aca="false">IF(R145=1,1/(O145^2+$Z$147),0)</f>
        <v>11.2476936053034</v>
      </c>
      <c r="U145" s="14"/>
    </row>
    <row r="146" customFormat="false" ht="15" hidden="false" customHeight="false" outlineLevel="0" collapsed="false">
      <c r="A146" s="15"/>
      <c r="B146" s="15" t="s">
        <v>101</v>
      </c>
      <c r="C146" s="15"/>
      <c r="D146" s="15"/>
      <c r="E146" s="15"/>
      <c r="F146" s="15"/>
      <c r="G146" s="15"/>
      <c r="H146" s="15"/>
      <c r="I146" s="15"/>
      <c r="J146" s="15" t="s">
        <v>102</v>
      </c>
      <c r="K146" s="16" t="n">
        <f aca="false">IF(V146&gt;0,EXP(AB146),"")</f>
        <v>1.98</v>
      </c>
      <c r="L146" s="16" t="n">
        <f aca="false">IF(V146&gt;0,EXP(AB146-1.959964*AC146),"")</f>
        <v>1.1037225148698</v>
      </c>
      <c r="M146" s="16" t="n">
        <f aca="false">IF(V146&gt;0,EXP(AB146+1.959964*AC146),"")</f>
        <v>3.55197972967189</v>
      </c>
      <c r="N146" s="15"/>
      <c r="O146" s="15"/>
      <c r="P146" s="15"/>
      <c r="Q146" s="15"/>
      <c r="R146" s="15"/>
      <c r="S146" s="15"/>
      <c r="T146" s="15"/>
      <c r="U146" s="15"/>
      <c r="V146" s="15" t="n">
        <f aca="false">SUM($Q$145:$Q$145)</f>
        <v>1</v>
      </c>
      <c r="W146" s="16" t="n">
        <f aca="false">IF(V146&gt;0,SUMPRODUCT($Q$145:$Q$145,$P$145:$P$145,$N$145:$N$145)/SUMPRODUCT($Q$145:$Q$145,$P$145:$P$145),0)</f>
        <v>0.683096844706444</v>
      </c>
      <c r="X146" s="16" t="n">
        <f aca="false">IF(V146&gt;1,SUMPRODUCT($Q$145:$Q$145,$P$145:$P$145,($N$145:$N$145-W146)^2),0)</f>
        <v>0</v>
      </c>
      <c r="Y146" s="16" t="n">
        <f aca="false">IF(V146&gt;1,SUMPRODUCT($Q$145:$Q$145,$P$145:$P$145)-SUMPRODUCT($Q$145:$Q$145,$P$145:$P$145,$P$145:$P$145)/SUMPRODUCT($Q$145:$Q$145,$P$145:$P$145),0)</f>
        <v>0</v>
      </c>
      <c r="Z146" s="16" t="n">
        <f aca="false">IF(Y146&gt;0,MAX(0,(X146-(V146-1))/Y146),0)</f>
        <v>0</v>
      </c>
      <c r="AA146" s="17" t="n">
        <f aca="false">IF(AND(V146&gt;1,X146&gt;0),MAX(0,(X146-(V146-1))/X146),0)</f>
        <v>0</v>
      </c>
      <c r="AB146" s="16" t="n">
        <f aca="false">IF(SUM($S$145:$S$145)&gt;0,SUMPRODUCT($S$145:$S$145,$N$145:$N$145)/SUM($S$145:$S$145),0)</f>
        <v>0.683096844706444</v>
      </c>
      <c r="AC146" s="16" t="n">
        <f aca="false">IF(SUM($S$145:$S$145)&gt;0,SQRT(1/SUM($S$145:$S$145)),0)</f>
        <v>0.298172963212936</v>
      </c>
    </row>
    <row r="147" customFormat="false" ht="15" hidden="false" customHeight="false" outlineLevel="0" collapsed="false">
      <c r="A147" s="15"/>
      <c r="B147" s="15" t="s">
        <v>103</v>
      </c>
      <c r="C147" s="15"/>
      <c r="D147" s="15"/>
      <c r="E147" s="15"/>
      <c r="F147" s="15"/>
      <c r="G147" s="15"/>
      <c r="H147" s="15"/>
      <c r="I147" s="15"/>
      <c r="J147" s="15" t="s">
        <v>102</v>
      </c>
      <c r="K147" s="16" t="n">
        <f aca="false">IF(V147&gt;0,EXP(AB147),"")</f>
        <v>1.98</v>
      </c>
      <c r="L147" s="16" t="n">
        <f aca="false">IF(V147&gt;0,EXP(AB147-1.959964*AC147),"")</f>
        <v>1.1037225148698</v>
      </c>
      <c r="M147" s="16" t="n">
        <f aca="false">IF(V147&gt;0,EXP(AB147+1.959964*AC147),"")</f>
        <v>3.55197972967189</v>
      </c>
      <c r="N147" s="15"/>
      <c r="O147" s="15"/>
      <c r="P147" s="15"/>
      <c r="Q147" s="15"/>
      <c r="R147" s="15"/>
      <c r="S147" s="15"/>
      <c r="T147" s="15"/>
      <c r="U147" s="15"/>
      <c r="V147" s="15" t="n">
        <f aca="false">SUM($R$145:$R$145)</f>
        <v>1</v>
      </c>
      <c r="W147" s="16" t="n">
        <f aca="false">IF(V147&gt;0,SUMPRODUCT($R$145:$R$145,$P$145:$P$145,$N$145:$N$145)/SUMPRODUCT($R$145:$R$145,$P$145:$P$145),0)</f>
        <v>0.683096844706444</v>
      </c>
      <c r="X147" s="16" t="n">
        <f aca="false">IF(V147&gt;1,SUMPRODUCT($R$145:$R$145,$P$145:$P$145,($N$145:$N$145-W147)^2),0)</f>
        <v>0</v>
      </c>
      <c r="Y147" s="16" t="n">
        <f aca="false">IF(V147&gt;1,SUMPRODUCT($R$145:$R$145,$P$145:$P$145)-SUMPRODUCT($R$145:$R$145,$P$145:$P$145,$P$145:$P$145)/SUMPRODUCT($R$145:$R$145,$P$145:$P$145),0)</f>
        <v>0</v>
      </c>
      <c r="Z147" s="16" t="n">
        <f aca="false">IF(Y147&gt;0,MAX(0,(X147-(V147-1))/Y147),0)</f>
        <v>0</v>
      </c>
      <c r="AA147" s="17" t="n">
        <f aca="false">IF(AND(V147&gt;1,X147&gt;0),MAX(0,(X147-(V147-1))/X147),0)</f>
        <v>0</v>
      </c>
      <c r="AB147" s="16" t="n">
        <f aca="false">IF(SUM($T$145:$T$145)&gt;0,SUMPRODUCT($T$145:$T$145,$N$145:$N$145)/SUM($T$145:$T$145),0)</f>
        <v>0.683096844706444</v>
      </c>
      <c r="AC147" s="16" t="n">
        <f aca="false">IF(SUM($T$145:$T$145)&gt;0,SQRT(1/SUM($T$145:$T$145)),0)</f>
        <v>0.298172963212936</v>
      </c>
    </row>
    <row r="149" customFormat="false" ht="15" hidden="false" customHeight="false" outlineLevel="0" collapsed="false">
      <c r="A149" s="8" t="s">
        <v>259</v>
      </c>
      <c r="B149" s="9"/>
      <c r="C149" s="9"/>
      <c r="D149" s="9"/>
      <c r="E149" s="9"/>
      <c r="F149" s="9"/>
      <c r="G149" s="9"/>
      <c r="H149" s="9"/>
      <c r="I149" s="9"/>
      <c r="J149" s="9"/>
      <c r="K149" s="9"/>
      <c r="L149" s="9"/>
      <c r="M149" s="9"/>
      <c r="N149" s="9"/>
      <c r="O149" s="9"/>
      <c r="P149" s="9"/>
      <c r="Q149" s="9"/>
      <c r="R149" s="9"/>
      <c r="S149" s="9"/>
      <c r="T149" s="9"/>
      <c r="U149" s="9"/>
    </row>
    <row r="150" customFormat="false" ht="15" hidden="false" customHeight="false" outlineLevel="0" collapsed="false">
      <c r="A150" s="10" t="s">
        <v>259</v>
      </c>
      <c r="B150" s="10" t="s">
        <v>154</v>
      </c>
      <c r="C150" s="10" t="n">
        <v>2001</v>
      </c>
      <c r="D150" s="10" t="s">
        <v>88</v>
      </c>
      <c r="E150" s="10" t="s">
        <v>122</v>
      </c>
      <c r="F150" s="10" t="s">
        <v>57</v>
      </c>
      <c r="G150" s="10" t="s">
        <v>167</v>
      </c>
      <c r="H150" s="10" t="n">
        <v>1.59</v>
      </c>
      <c r="I150" s="10" t="n">
        <v>10.88</v>
      </c>
      <c r="J150" s="10" t="s">
        <v>59</v>
      </c>
      <c r="K150" s="11" t="n">
        <v>1.7</v>
      </c>
      <c r="L150" s="11" t="n">
        <v>0.74</v>
      </c>
      <c r="M150" s="11" t="n">
        <v>3.88</v>
      </c>
      <c r="N150" s="12" t="n">
        <f aca="false">LN(K150)</f>
        <v>0.53062825106217</v>
      </c>
      <c r="O150" s="12" t="n">
        <f aca="false">(LN(M150)-LN(L150))/(2*1.959964)</f>
        <v>0.422696602187363</v>
      </c>
      <c r="P150" s="12" t="n">
        <f aca="false">IF(O150&gt;0,1/O150^2,0)</f>
        <v>5.59683477723052</v>
      </c>
      <c r="Q150" s="13" t="n">
        <v>1</v>
      </c>
      <c r="R150" s="13" t="n">
        <v>1</v>
      </c>
      <c r="S150" s="12" t="n">
        <f aca="false">IF(Q150=1,1/(O150^2+$Z$152),0)</f>
        <v>5.59683477723052</v>
      </c>
      <c r="T150" s="12" t="n">
        <f aca="false">IF(R150=1,1/(O150^2+$Z$153),0)</f>
        <v>5.59683477723052</v>
      </c>
      <c r="U150" s="14" t="s">
        <v>260</v>
      </c>
    </row>
    <row r="151" customFormat="false" ht="15" hidden="false" customHeight="false" outlineLevel="0" collapsed="false">
      <c r="A151" s="10" t="s">
        <v>259</v>
      </c>
      <c r="B151" s="10" t="s">
        <v>68</v>
      </c>
      <c r="C151" s="10" t="n">
        <v>2002</v>
      </c>
      <c r="D151" s="10" t="s">
        <v>55</v>
      </c>
      <c r="E151" s="10" t="s">
        <v>69</v>
      </c>
      <c r="F151" s="10" t="s">
        <v>64</v>
      </c>
      <c r="G151" s="10" t="s">
        <v>70</v>
      </c>
      <c r="H151" s="10" t="n">
        <v>10</v>
      </c>
      <c r="I151" s="10" t="n">
        <v>20</v>
      </c>
      <c r="J151" s="10" t="s">
        <v>71</v>
      </c>
      <c r="K151" s="11" t="n">
        <v>1.13</v>
      </c>
      <c r="L151" s="11" t="n">
        <v>1.03</v>
      </c>
      <c r="M151" s="11" t="n">
        <v>1.25</v>
      </c>
      <c r="N151" s="12" t="n">
        <f aca="false">LN(K151)</f>
        <v>0.122217632724249</v>
      </c>
      <c r="O151" s="12" t="n">
        <f aca="false">(LN(M151)-LN(L151))/(2*1.959964)</f>
        <v>0.0493847716265874</v>
      </c>
      <c r="P151" s="12" t="n">
        <f aca="false">IF(O151&gt;0,1/O151^2,0)</f>
        <v>410.028364068737</v>
      </c>
      <c r="Q151" s="13" t="n">
        <v>0</v>
      </c>
      <c r="R151" s="13" t="n">
        <v>0</v>
      </c>
      <c r="S151" s="12" t="n">
        <f aca="false">IF(Q151=1,1/(O151^2+$Z$152),0)</f>
        <v>0</v>
      </c>
      <c r="T151" s="12" t="n">
        <f aca="false">IF(R151=1,1/(O151^2+$Z$153),0)</f>
        <v>0</v>
      </c>
      <c r="U151" s="14"/>
    </row>
    <row r="152" customFormat="false" ht="15" hidden="false" customHeight="false" outlineLevel="0" collapsed="false">
      <c r="A152" s="15"/>
      <c r="B152" s="15" t="s">
        <v>101</v>
      </c>
      <c r="C152" s="15"/>
      <c r="D152" s="15"/>
      <c r="E152" s="15"/>
      <c r="F152" s="15"/>
      <c r="G152" s="15"/>
      <c r="H152" s="15"/>
      <c r="I152" s="15"/>
      <c r="J152" s="15" t="s">
        <v>102</v>
      </c>
      <c r="K152" s="16" t="n">
        <f aca="false">IF(V152&gt;0,EXP(AB152),"")</f>
        <v>1.7</v>
      </c>
      <c r="L152" s="16" t="n">
        <f aca="false">IF(V152&gt;0,EXP(AB152-1.959964*AC152),"")</f>
        <v>0.74241872754552</v>
      </c>
      <c r="M152" s="16" t="n">
        <f aca="false">IF(V152&gt;0,EXP(AB152+1.959964*AC152),"")</f>
        <v>3.89268197686029</v>
      </c>
      <c r="N152" s="15"/>
      <c r="O152" s="15"/>
      <c r="P152" s="15"/>
      <c r="Q152" s="15"/>
      <c r="R152" s="15"/>
      <c r="S152" s="15"/>
      <c r="T152" s="15"/>
      <c r="U152" s="15"/>
      <c r="V152" s="15" t="n">
        <f aca="false">SUM($Q$150:$Q$151)</f>
        <v>1</v>
      </c>
      <c r="W152" s="16" t="n">
        <f aca="false">IF(V152&gt;0,SUMPRODUCT($Q$150:$Q$151,$P$150:$P$151,$N$150:$N$151)/SUMPRODUCT($Q$150:$Q$151,$P$150:$P$151),0)</f>
        <v>0.53062825106217</v>
      </c>
      <c r="X152" s="16" t="n">
        <f aca="false">IF(V152&gt;1,SUMPRODUCT($Q$150:$Q$151,$P$150:$P$151,($N$150:$N$151-W152)^2),0)</f>
        <v>0</v>
      </c>
      <c r="Y152" s="16" t="n">
        <f aca="false">IF(V152&gt;1,SUMPRODUCT($Q$150:$Q$151,$P$150:$P$151)-SUMPRODUCT($Q$150:$Q$151,$P$150:$P$151,$P$150:$P$151)/SUMPRODUCT($Q$150:$Q$151,$P$150:$P$151),0)</f>
        <v>0</v>
      </c>
      <c r="Z152" s="16" t="n">
        <f aca="false">IF(Y152&gt;0,MAX(0,(X152-(V152-1))/Y152),0)</f>
        <v>0</v>
      </c>
      <c r="AA152" s="17" t="n">
        <f aca="false">IF(AND(V152&gt;1,X152&gt;0),MAX(0,(X152-(V152-1))/X152),0)</f>
        <v>0</v>
      </c>
      <c r="AB152" s="16" t="n">
        <f aca="false">IF(SUM($S$150:$S$151)&gt;0,SUMPRODUCT($S$150:$S$151,$N$150:$N$151)/SUM($S$150:$S$151),0)</f>
        <v>0.53062825106217</v>
      </c>
      <c r="AC152" s="16" t="n">
        <f aca="false">IF(SUM($S$150:$S$151)&gt;0,SQRT(1/SUM($S$150:$S$151)),0)</f>
        <v>0.422696602187363</v>
      </c>
    </row>
    <row r="153" customFormat="false" ht="15" hidden="false" customHeight="false" outlineLevel="0" collapsed="false">
      <c r="A153" s="15"/>
      <c r="B153" s="15" t="s">
        <v>103</v>
      </c>
      <c r="C153" s="15"/>
      <c r="D153" s="15"/>
      <c r="E153" s="15"/>
      <c r="F153" s="15"/>
      <c r="G153" s="15"/>
      <c r="H153" s="15"/>
      <c r="I153" s="15"/>
      <c r="J153" s="15" t="s">
        <v>102</v>
      </c>
      <c r="K153" s="16" t="n">
        <f aca="false">IF(V153&gt;0,EXP(AB153),"")</f>
        <v>1.7</v>
      </c>
      <c r="L153" s="16" t="n">
        <f aca="false">IF(V153&gt;0,EXP(AB153-1.959964*AC153),"")</f>
        <v>0.74241872754552</v>
      </c>
      <c r="M153" s="16" t="n">
        <f aca="false">IF(V153&gt;0,EXP(AB153+1.959964*AC153),"")</f>
        <v>3.89268197686029</v>
      </c>
      <c r="N153" s="15"/>
      <c r="O153" s="15"/>
      <c r="P153" s="15"/>
      <c r="Q153" s="15"/>
      <c r="R153" s="15"/>
      <c r="S153" s="15"/>
      <c r="T153" s="15"/>
      <c r="U153" s="15"/>
      <c r="V153" s="15" t="n">
        <f aca="false">SUM($R$150:$R$151)</f>
        <v>1</v>
      </c>
      <c r="W153" s="16" t="n">
        <f aca="false">IF(V153&gt;0,SUMPRODUCT($R$150:$R$151,$P$150:$P$151,$N$150:$N$151)/SUMPRODUCT($R$150:$R$151,$P$150:$P$151),0)</f>
        <v>0.53062825106217</v>
      </c>
      <c r="X153" s="16" t="n">
        <f aca="false">IF(V153&gt;1,SUMPRODUCT($R$150:$R$151,$P$150:$P$151,($N$150:$N$151-W153)^2),0)</f>
        <v>0</v>
      </c>
      <c r="Y153" s="16" t="n">
        <f aca="false">IF(V153&gt;1,SUMPRODUCT($R$150:$R$151,$P$150:$P$151)-SUMPRODUCT($R$150:$R$151,$P$150:$P$151,$P$150:$P$151)/SUMPRODUCT($R$150:$R$151,$P$150:$P$151),0)</f>
        <v>0</v>
      </c>
      <c r="Z153" s="16" t="n">
        <f aca="false">IF(Y153&gt;0,MAX(0,(X153-(V153-1))/Y153),0)</f>
        <v>0</v>
      </c>
      <c r="AA153" s="17" t="n">
        <f aca="false">IF(AND(V153&gt;1,X153&gt;0),MAX(0,(X153-(V153-1))/X153),0)</f>
        <v>0</v>
      </c>
      <c r="AB153" s="16" t="n">
        <f aca="false">IF(SUM($T$150:$T$151)&gt;0,SUMPRODUCT($T$150:$T$151,$N$150:$N$151)/SUM($T$150:$T$151),0)</f>
        <v>0.53062825106217</v>
      </c>
      <c r="AC153" s="16" t="n">
        <f aca="false">IF(SUM($T$150:$T$151)&gt;0,SQRT(1/SUM($T$150:$T$151)),0)</f>
        <v>0.422696602187363</v>
      </c>
    </row>
    <row r="155" customFormat="false" ht="15" hidden="false" customHeight="false" outlineLevel="0" collapsed="false">
      <c r="A155" s="8" t="s">
        <v>261</v>
      </c>
      <c r="B155" s="9"/>
      <c r="C155" s="9"/>
      <c r="D155" s="9"/>
      <c r="E155" s="9"/>
      <c r="F155" s="9"/>
      <c r="G155" s="9"/>
      <c r="H155" s="9"/>
      <c r="I155" s="9"/>
      <c r="J155" s="9"/>
      <c r="K155" s="9"/>
      <c r="L155" s="9"/>
      <c r="M155" s="9"/>
      <c r="N155" s="9"/>
      <c r="O155" s="9"/>
      <c r="P155" s="9"/>
      <c r="Q155" s="9"/>
      <c r="R155" s="9"/>
      <c r="S155" s="9"/>
      <c r="T155" s="9"/>
      <c r="U155" s="9"/>
    </row>
    <row r="156" customFormat="false" ht="15" hidden="false" customHeight="false" outlineLevel="0" collapsed="false">
      <c r="A156" s="10" t="s">
        <v>261</v>
      </c>
      <c r="B156" s="10" t="s">
        <v>210</v>
      </c>
      <c r="C156" s="10" t="n">
        <v>2005</v>
      </c>
      <c r="D156" s="10" t="s">
        <v>55</v>
      </c>
      <c r="E156" s="10" t="s">
        <v>211</v>
      </c>
      <c r="F156" s="10" t="s">
        <v>212</v>
      </c>
      <c r="G156" s="10" t="s">
        <v>213</v>
      </c>
      <c r="H156" s="10"/>
      <c r="I156" s="10"/>
      <c r="J156" s="10" t="s">
        <v>66</v>
      </c>
      <c r="K156" s="11" t="n">
        <v>1.28</v>
      </c>
      <c r="L156" s="11" t="n">
        <v>0.63</v>
      </c>
      <c r="M156" s="11" t="n">
        <v>2.59</v>
      </c>
      <c r="N156" s="12" t="n">
        <f aca="false">LN(K156)</f>
        <v>0.246860077931526</v>
      </c>
      <c r="O156" s="12" t="n">
        <f aca="false">(LN(M156)-LN(L156))/(2*1.959964)</f>
        <v>0.360642678974717</v>
      </c>
      <c r="P156" s="12" t="n">
        <f aca="false">IF(O156&gt;0,1/O156^2,0)</f>
        <v>7.6885732991424</v>
      </c>
      <c r="Q156" s="13" t="n">
        <v>0</v>
      </c>
      <c r="R156" s="13" t="n">
        <v>0</v>
      </c>
      <c r="S156" s="12" t="n">
        <f aca="false">IF(Q156=1,1/(O156^2+$Z$157),0)</f>
        <v>0</v>
      </c>
      <c r="T156" s="12" t="n">
        <f aca="false">IF(R156=1,1/(O156^2+$Z$158),0)</f>
        <v>0</v>
      </c>
      <c r="U156" s="14" t="s">
        <v>214</v>
      </c>
    </row>
    <row r="157" customFormat="false" ht="15" hidden="false" customHeight="false" outlineLevel="0" collapsed="false">
      <c r="A157" s="15"/>
      <c r="B157" s="15" t="s">
        <v>101</v>
      </c>
      <c r="C157" s="15"/>
      <c r="D157" s="15"/>
      <c r="E157" s="15"/>
      <c r="F157" s="15"/>
      <c r="G157" s="15"/>
      <c r="H157" s="15"/>
      <c r="I157" s="15"/>
      <c r="J157" s="15" t="s">
        <v>102</v>
      </c>
      <c r="K157" s="16" t="str">
        <f aca="false">IF(V157&gt;0,EXP(AB157),"")</f>
        <v/>
      </c>
      <c r="L157" s="16" t="str">
        <f aca="false">IF(V157&gt;0,EXP(AB157-1.959964*AC157),"")</f>
        <v/>
      </c>
      <c r="M157" s="16" t="str">
        <f aca="false">IF(V157&gt;0,EXP(AB157+1.959964*AC157),"")</f>
        <v/>
      </c>
      <c r="N157" s="15"/>
      <c r="O157" s="15"/>
      <c r="P157" s="15"/>
      <c r="Q157" s="15"/>
      <c r="R157" s="15"/>
      <c r="S157" s="15"/>
      <c r="T157" s="15"/>
      <c r="U157" s="15"/>
      <c r="V157" s="15" t="n">
        <f aca="false">SUM($Q$156:$Q$156)</f>
        <v>0</v>
      </c>
      <c r="W157" s="16" t="n">
        <f aca="false">IF(V157&gt;0,SUMPRODUCT($Q$156:$Q$156,$P$156:$P$156,$N$156:$N$156)/SUMPRODUCT($Q$156:$Q$156,$P$156:$P$156),0)</f>
        <v>0</v>
      </c>
      <c r="X157" s="16" t="n">
        <f aca="false">IF(V157&gt;1,SUMPRODUCT($Q$156:$Q$156,$P$156:$P$156,($N$156:$N$156-W157)^2),0)</f>
        <v>0</v>
      </c>
      <c r="Y157" s="16" t="n">
        <f aca="false">IF(V157&gt;1,SUMPRODUCT($Q$156:$Q$156,$P$156:$P$156)-SUMPRODUCT($Q$156:$Q$156,$P$156:$P$156,$P$156:$P$156)/SUMPRODUCT($Q$156:$Q$156,$P$156:$P$156),0)</f>
        <v>0</v>
      </c>
      <c r="Z157" s="16" t="n">
        <f aca="false">IF(Y157&gt;0,MAX(0,(X157-(V157-1))/Y157),0)</f>
        <v>0</v>
      </c>
      <c r="AA157" s="17" t="n">
        <f aca="false">IF(AND(V157&gt;1,X157&gt;0),MAX(0,(X157-(V157-1))/X157),0)</f>
        <v>0</v>
      </c>
      <c r="AB157" s="16" t="n">
        <f aca="false">IF(SUM($S$156:$S$156)&gt;0,SUMPRODUCT($S$156:$S$156,$N$156:$N$156)/SUM($S$156:$S$156),0)</f>
        <v>0</v>
      </c>
      <c r="AC157" s="16" t="n">
        <f aca="false">IF(SUM($S$156:$S$156)&gt;0,SQRT(1/SUM($S$156:$S$156)),0)</f>
        <v>0</v>
      </c>
    </row>
    <row r="158" customFormat="false" ht="15" hidden="false" customHeight="false" outlineLevel="0" collapsed="false">
      <c r="A158" s="15"/>
      <c r="B158" s="15" t="s">
        <v>103</v>
      </c>
      <c r="C158" s="15"/>
      <c r="D158" s="15"/>
      <c r="E158" s="15"/>
      <c r="F158" s="15"/>
      <c r="G158" s="15"/>
      <c r="H158" s="15"/>
      <c r="I158" s="15"/>
      <c r="J158" s="15" t="s">
        <v>102</v>
      </c>
      <c r="K158" s="16" t="str">
        <f aca="false">IF(V158&gt;0,EXP(AB158),"")</f>
        <v/>
      </c>
      <c r="L158" s="16" t="str">
        <f aca="false">IF(V158&gt;0,EXP(AB158-1.959964*AC158),"")</f>
        <v/>
      </c>
      <c r="M158" s="16" t="str">
        <f aca="false">IF(V158&gt;0,EXP(AB158+1.959964*AC158),"")</f>
        <v/>
      </c>
      <c r="N158" s="15"/>
      <c r="O158" s="15"/>
      <c r="P158" s="15"/>
      <c r="Q158" s="15"/>
      <c r="R158" s="15"/>
      <c r="S158" s="15"/>
      <c r="T158" s="15"/>
      <c r="U158" s="15"/>
      <c r="V158" s="15" t="n">
        <f aca="false">SUM($R$156:$R$156)</f>
        <v>0</v>
      </c>
      <c r="W158" s="16" t="n">
        <f aca="false">IF(V158&gt;0,SUMPRODUCT($R$156:$R$156,$P$156:$P$156,$N$156:$N$156)/SUMPRODUCT($R$156:$R$156,$P$156:$P$156),0)</f>
        <v>0</v>
      </c>
      <c r="X158" s="16" t="n">
        <f aca="false">IF(V158&gt;1,SUMPRODUCT($R$156:$R$156,$P$156:$P$156,($N$156:$N$156-W158)^2),0)</f>
        <v>0</v>
      </c>
      <c r="Y158" s="16" t="n">
        <f aca="false">IF(V158&gt;1,SUMPRODUCT($R$156:$R$156,$P$156:$P$156)-SUMPRODUCT($R$156:$R$156,$P$156:$P$156,$P$156:$P$156)/SUMPRODUCT($R$156:$R$156,$P$156:$P$156),0)</f>
        <v>0</v>
      </c>
      <c r="Z158" s="16" t="n">
        <f aca="false">IF(Y158&gt;0,MAX(0,(X158-(V158-1))/Y158),0)</f>
        <v>0</v>
      </c>
      <c r="AA158" s="17" t="n">
        <f aca="false">IF(AND(V158&gt;1,X158&gt;0),MAX(0,(X158-(V158-1))/X158),0)</f>
        <v>0</v>
      </c>
      <c r="AB158" s="16" t="n">
        <f aca="false">IF(SUM($T$156:$T$156)&gt;0,SUMPRODUCT($T$156:$T$156,$N$156:$N$156)/SUM($T$156:$T$156),0)</f>
        <v>0</v>
      </c>
      <c r="AC158" s="16" t="n">
        <f aca="false">IF(SUM($T$156:$T$156)&gt;0,SQRT(1/SUM($T$156:$T$156)),0)</f>
        <v>0</v>
      </c>
    </row>
    <row r="160" customFormat="false" ht="15" hidden="false" customHeight="false" outlineLevel="0" collapsed="false">
      <c r="A160" s="8" t="s">
        <v>262</v>
      </c>
      <c r="B160" s="9"/>
      <c r="C160" s="9"/>
      <c r="D160" s="9"/>
      <c r="E160" s="9"/>
      <c r="F160" s="9"/>
      <c r="G160" s="9"/>
      <c r="H160" s="9"/>
      <c r="I160" s="9"/>
      <c r="J160" s="9"/>
      <c r="K160" s="9"/>
      <c r="L160" s="9"/>
      <c r="M160" s="9"/>
      <c r="N160" s="9"/>
      <c r="O160" s="9"/>
      <c r="P160" s="9"/>
      <c r="Q160" s="9"/>
      <c r="R160" s="9"/>
      <c r="S160" s="9"/>
      <c r="T160" s="9"/>
      <c r="U160" s="9"/>
    </row>
    <row r="161" customFormat="false" ht="15" hidden="false" customHeight="false" outlineLevel="0" collapsed="false">
      <c r="A161" s="10" t="s">
        <v>262</v>
      </c>
      <c r="B161" s="10" t="s">
        <v>68</v>
      </c>
      <c r="C161" s="10" t="n">
        <v>2002</v>
      </c>
      <c r="D161" s="10" t="s">
        <v>55</v>
      </c>
      <c r="E161" s="10" t="s">
        <v>69</v>
      </c>
      <c r="F161" s="10" t="s">
        <v>64</v>
      </c>
      <c r="G161" s="10" t="s">
        <v>226</v>
      </c>
      <c r="H161" s="10" t="n">
        <v>10</v>
      </c>
      <c r="I161" s="10" t="n">
        <v>20</v>
      </c>
      <c r="J161" s="10" t="s">
        <v>71</v>
      </c>
      <c r="K161" s="11" t="n">
        <v>1.03</v>
      </c>
      <c r="L161" s="11" t="n">
        <v>0.97</v>
      </c>
      <c r="M161" s="11" t="n">
        <v>1.08</v>
      </c>
      <c r="N161" s="12" t="n">
        <f aca="false">LN(K161)</f>
        <v>0.0295588022415444</v>
      </c>
      <c r="O161" s="12" t="n">
        <f aca="false">(LN(M161)-LN(L161))/(2*1.959964)</f>
        <v>0.0274036279801152</v>
      </c>
      <c r="P161" s="12" t="n">
        <f aca="false">IF(O161&gt;0,1/O161^2,0)</f>
        <v>1331.63092935103</v>
      </c>
      <c r="Q161" s="13" t="n">
        <v>0</v>
      </c>
      <c r="R161" s="13" t="n">
        <v>0</v>
      </c>
      <c r="S161" s="12" t="n">
        <f aca="false">IF(Q161=1,1/(O161^2+$Z$162),0)</f>
        <v>0</v>
      </c>
      <c r="T161" s="12" t="n">
        <f aca="false">IF(R161=1,1/(O161^2+$Z$163),0)</f>
        <v>0</v>
      </c>
      <c r="U161" s="14" t="s">
        <v>263</v>
      </c>
    </row>
    <row r="162" customFormat="false" ht="15" hidden="false" customHeight="false" outlineLevel="0" collapsed="false">
      <c r="A162" s="15"/>
      <c r="B162" s="15" t="s">
        <v>101</v>
      </c>
      <c r="C162" s="15"/>
      <c r="D162" s="15"/>
      <c r="E162" s="15"/>
      <c r="F162" s="15"/>
      <c r="G162" s="15"/>
      <c r="H162" s="15"/>
      <c r="I162" s="15"/>
      <c r="J162" s="15" t="s">
        <v>102</v>
      </c>
      <c r="K162" s="16" t="str">
        <f aca="false">IF(V162&gt;0,EXP(AB162),"")</f>
        <v/>
      </c>
      <c r="L162" s="16" t="str">
        <f aca="false">IF(V162&gt;0,EXP(AB162-1.959964*AC162),"")</f>
        <v/>
      </c>
      <c r="M162" s="16" t="str">
        <f aca="false">IF(V162&gt;0,EXP(AB162+1.959964*AC162),"")</f>
        <v/>
      </c>
      <c r="N162" s="15"/>
      <c r="O162" s="15"/>
      <c r="P162" s="15"/>
      <c r="Q162" s="15"/>
      <c r="R162" s="15"/>
      <c r="S162" s="15"/>
      <c r="T162" s="15"/>
      <c r="U162" s="15"/>
      <c r="V162" s="15" t="n">
        <f aca="false">SUM($Q$161:$Q$161)</f>
        <v>0</v>
      </c>
      <c r="W162" s="16" t="n">
        <f aca="false">IF(V162&gt;0,SUMPRODUCT($Q$161:$Q$161,$P$161:$P$161,$N$161:$N$161)/SUMPRODUCT($Q$161:$Q$161,$P$161:$P$161),0)</f>
        <v>0</v>
      </c>
      <c r="X162" s="16" t="n">
        <f aca="false">IF(V162&gt;1,SUMPRODUCT($Q$161:$Q$161,$P$161:$P$161,($N$161:$N$161-W162)^2),0)</f>
        <v>0</v>
      </c>
      <c r="Y162" s="16" t="n">
        <f aca="false">IF(V162&gt;1,SUMPRODUCT($Q$161:$Q$161,$P$161:$P$161)-SUMPRODUCT($Q$161:$Q$161,$P$161:$P$161,$P$161:$P$161)/SUMPRODUCT($Q$161:$Q$161,$P$161:$P$161),0)</f>
        <v>0</v>
      </c>
      <c r="Z162" s="16" t="n">
        <f aca="false">IF(Y162&gt;0,MAX(0,(X162-(V162-1))/Y162),0)</f>
        <v>0</v>
      </c>
      <c r="AA162" s="17" t="n">
        <f aca="false">IF(AND(V162&gt;1,X162&gt;0),MAX(0,(X162-(V162-1))/X162),0)</f>
        <v>0</v>
      </c>
      <c r="AB162" s="16" t="n">
        <f aca="false">IF(SUM($S$161:$S$161)&gt;0,SUMPRODUCT($S$161:$S$161,$N$161:$N$161)/SUM($S$161:$S$161),0)</f>
        <v>0</v>
      </c>
      <c r="AC162" s="16" t="n">
        <f aca="false">IF(SUM($S$161:$S$161)&gt;0,SQRT(1/SUM($S$161:$S$161)),0)</f>
        <v>0</v>
      </c>
    </row>
    <row r="163" customFormat="false" ht="15" hidden="false" customHeight="false" outlineLevel="0" collapsed="false">
      <c r="A163" s="15"/>
      <c r="B163" s="15" t="s">
        <v>103</v>
      </c>
      <c r="C163" s="15"/>
      <c r="D163" s="15"/>
      <c r="E163" s="15"/>
      <c r="F163" s="15"/>
      <c r="G163" s="15"/>
      <c r="H163" s="15"/>
      <c r="I163" s="15"/>
      <c r="J163" s="15" t="s">
        <v>102</v>
      </c>
      <c r="K163" s="16" t="str">
        <f aca="false">IF(V163&gt;0,EXP(AB163),"")</f>
        <v/>
      </c>
      <c r="L163" s="16" t="str">
        <f aca="false">IF(V163&gt;0,EXP(AB163-1.959964*AC163),"")</f>
        <v/>
      </c>
      <c r="M163" s="16" t="str">
        <f aca="false">IF(V163&gt;0,EXP(AB163+1.959964*AC163),"")</f>
        <v/>
      </c>
      <c r="N163" s="15"/>
      <c r="O163" s="15"/>
      <c r="P163" s="15"/>
      <c r="Q163" s="15"/>
      <c r="R163" s="15"/>
      <c r="S163" s="15"/>
      <c r="T163" s="15"/>
      <c r="U163" s="15"/>
      <c r="V163" s="15" t="n">
        <f aca="false">SUM($R$161:$R$161)</f>
        <v>0</v>
      </c>
      <c r="W163" s="16" t="n">
        <f aca="false">IF(V163&gt;0,SUMPRODUCT($R$161:$R$161,$P$161:$P$161,$N$161:$N$161)/SUMPRODUCT($R$161:$R$161,$P$161:$P$161),0)</f>
        <v>0</v>
      </c>
      <c r="X163" s="16" t="n">
        <f aca="false">IF(V163&gt;1,SUMPRODUCT($R$161:$R$161,$P$161:$P$161,($N$161:$N$161-W163)^2),0)</f>
        <v>0</v>
      </c>
      <c r="Y163" s="16" t="n">
        <f aca="false">IF(V163&gt;1,SUMPRODUCT($R$161:$R$161,$P$161:$P$161)-SUMPRODUCT($R$161:$R$161,$P$161:$P$161,$P$161:$P$161)/SUMPRODUCT($R$161:$R$161,$P$161:$P$161),0)</f>
        <v>0</v>
      </c>
      <c r="Z163" s="16" t="n">
        <f aca="false">IF(Y163&gt;0,MAX(0,(X163-(V163-1))/Y163),0)</f>
        <v>0</v>
      </c>
      <c r="AA163" s="17" t="n">
        <f aca="false">IF(AND(V163&gt;1,X163&gt;0),MAX(0,(X163-(V163-1))/X163),0)</f>
        <v>0</v>
      </c>
      <c r="AB163" s="16" t="n">
        <f aca="false">IF(SUM($T$161:$T$161)&gt;0,SUMPRODUCT($T$161:$T$161,$N$161:$N$161)/SUM($T$161:$T$161),0)</f>
        <v>0</v>
      </c>
      <c r="AC163" s="16" t="n">
        <f aca="false">IF(SUM($T$161:$T$161)&gt;0,SQRT(1/SUM($T$161:$T$161)),0)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
    <col collapsed="false" customWidth="true" hidden="false" outlineLevel="0" max="3" min="3" style="0" width="13"/>
    <col collapsed="false" customWidth="true" hidden="false" outlineLevel="0" max="5" min="4" style="0" width="10"/>
    <col collapsed="false" customWidth="true" hidden="false" outlineLevel="0" max="6" min="6" style="0" width="8"/>
    <col collapsed="false" customWidth="true" hidden="false" outlineLevel="0" max="7" min="7" style="0" width="5"/>
    <col collapsed="false" customWidth="true" hidden="false" outlineLevel="0" max="8" min="8" style="0" width="13"/>
    <col collapsed="false" customWidth="true" hidden="false" outlineLevel="0" max="10" min="9" style="0" width="10"/>
    <col collapsed="false" customWidth="true" hidden="false" outlineLevel="0" max="11" min="11" style="0" width="8"/>
    <col collapsed="false" customWidth="true" hidden="false" outlineLevel="0" max="12" min="12" style="0" width="18"/>
    <col collapsed="false" customWidth="true" hidden="false" outlineLevel="0" max="13" min="13" style="0" width="60"/>
  </cols>
  <sheetData>
    <row r="1" customFormat="false" ht="42" hidden="false" customHeight="true" outlineLevel="0" collapsed="false">
      <c r="A1" s="6" t="s">
        <v>24</v>
      </c>
      <c r="B1" s="6" t="s">
        <v>45</v>
      </c>
      <c r="C1" s="6" t="s">
        <v>264</v>
      </c>
      <c r="D1" s="6" t="s">
        <v>35</v>
      </c>
      <c r="E1" s="6" t="s">
        <v>36</v>
      </c>
      <c r="F1" s="6" t="s">
        <v>50</v>
      </c>
      <c r="G1" s="6" t="s">
        <v>45</v>
      </c>
      <c r="H1" s="6" t="s">
        <v>264</v>
      </c>
      <c r="I1" s="6" t="s">
        <v>35</v>
      </c>
      <c r="J1" s="6" t="s">
        <v>36</v>
      </c>
      <c r="K1" s="6" t="s">
        <v>50</v>
      </c>
      <c r="L1" s="6" t="s">
        <v>265</v>
      </c>
      <c r="M1" s="6" t="s">
        <v>266</v>
      </c>
    </row>
    <row r="2" customFormat="false" ht="15" hidden="false" customHeight="false" outlineLevel="0" collapsed="false">
      <c r="A2" s="18" t="s">
        <v>53</v>
      </c>
      <c r="B2" s="10" t="n">
        <f aca="false">'Study multipliers'!V14</f>
        <v>8</v>
      </c>
      <c r="C2" s="11" t="n">
        <f aca="false">'Study multipliers'!K14</f>
        <v>1.11029282470282</v>
      </c>
      <c r="D2" s="11" t="n">
        <f aca="false">'Study multipliers'!L14</f>
        <v>1.05320701314555</v>
      </c>
      <c r="E2" s="11" t="n">
        <f aca="false">'Study multipliers'!M14</f>
        <v>1.17047279518656</v>
      </c>
      <c r="F2" s="19" t="n">
        <f aca="false">'Study multipliers'!AA14</f>
        <v>0.0624173340047819</v>
      </c>
      <c r="G2" s="10" t="n">
        <f aca="false">'Study multipliers'!V15</f>
        <v>7</v>
      </c>
      <c r="H2" s="11" t="n">
        <f aca="false">'Study multipliers'!K15</f>
        <v>1.15161832785304</v>
      </c>
      <c r="I2" s="11" t="n">
        <f aca="false">'Study multipliers'!L15</f>
        <v>1.08557106239993</v>
      </c>
      <c r="J2" s="11" t="n">
        <f aca="false">'Study multipliers'!M15</f>
        <v>1.22168397720097</v>
      </c>
      <c r="K2" s="19" t="n">
        <f aca="false">'Study multipliers'!AA15</f>
        <v>0</v>
      </c>
      <c r="L2" s="10" t="str">
        <f aca="false">IF(G2=0,"no analytic studies",IF(I2&gt;1,"Elevated",IF(J2&lt;1,"Protective","Not significant")))</f>
        <v>Elevated</v>
      </c>
      <c r="M2" s="14" t="s">
        <v>267</v>
      </c>
    </row>
    <row r="3" customFormat="false" ht="15" hidden="false" customHeight="false" outlineLevel="0" collapsed="false">
      <c r="A3" s="18" t="s">
        <v>104</v>
      </c>
      <c r="B3" s="10" t="n">
        <f aca="false">'Study multipliers'!V22</f>
        <v>2</v>
      </c>
      <c r="C3" s="11" t="n">
        <f aca="false">'Study multipliers'!K22</f>
        <v>1.05433162607575</v>
      </c>
      <c r="D3" s="11" t="n">
        <f aca="false">'Study multipliers'!L22</f>
        <v>0.923909575005819</v>
      </c>
      <c r="E3" s="11" t="n">
        <f aca="false">'Study multipliers'!M22</f>
        <v>1.20316447390052</v>
      </c>
      <c r="F3" s="19" t="n">
        <f aca="false">'Study multipliers'!AA22</f>
        <v>0</v>
      </c>
      <c r="G3" s="10" t="n">
        <f aca="false">'Study multipliers'!V23</f>
        <v>2</v>
      </c>
      <c r="H3" s="11" t="n">
        <f aca="false">'Study multipliers'!K23</f>
        <v>1.05433162607575</v>
      </c>
      <c r="I3" s="11" t="n">
        <f aca="false">'Study multipliers'!L23</f>
        <v>0.923909575005819</v>
      </c>
      <c r="J3" s="11" t="n">
        <f aca="false">'Study multipliers'!M23</f>
        <v>1.20316447390052</v>
      </c>
      <c r="K3" s="19" t="n">
        <f aca="false">'Study multipliers'!AA23</f>
        <v>0</v>
      </c>
      <c r="L3" s="10" t="str">
        <f aca="false">IF(G3=0,"no analytic studies",IF(I3&gt;1,"Elevated",IF(J3&lt;1,"Protective","Not significant")))</f>
        <v>Not significant</v>
      </c>
      <c r="M3" s="14" t="s">
        <v>268</v>
      </c>
    </row>
    <row r="4" customFormat="false" ht="15" hidden="false" customHeight="false" outlineLevel="0" collapsed="false">
      <c r="A4" s="18" t="s">
        <v>113</v>
      </c>
      <c r="B4" s="10" t="n">
        <f aca="false">'Study multipliers'!V41</f>
        <v>12</v>
      </c>
      <c r="C4" s="11" t="n">
        <f aca="false">'Study multipliers'!K41</f>
        <v>1.17015099528112</v>
      </c>
      <c r="D4" s="11" t="n">
        <f aca="false">'Study multipliers'!L41</f>
        <v>1.08980416551755</v>
      </c>
      <c r="E4" s="11" t="n">
        <f aca="false">'Study multipliers'!M41</f>
        <v>1.256421470097</v>
      </c>
      <c r="F4" s="19" t="n">
        <f aca="false">'Study multipliers'!AA41</f>
        <v>0.450581083239168</v>
      </c>
      <c r="G4" s="10" t="n">
        <f aca="false">'Study multipliers'!V42</f>
        <v>10</v>
      </c>
      <c r="H4" s="11" t="n">
        <f aca="false">'Study multipliers'!K42</f>
        <v>1.18382006901875</v>
      </c>
      <c r="I4" s="11" t="n">
        <f aca="false">'Study multipliers'!L42</f>
        <v>1.08435011111096</v>
      </c>
      <c r="J4" s="11" t="n">
        <f aca="false">'Study multipliers'!M42</f>
        <v>1.29241463753413</v>
      </c>
      <c r="K4" s="19" t="n">
        <f aca="false">'Study multipliers'!AA42</f>
        <v>0.538570581172455</v>
      </c>
      <c r="L4" s="10" t="str">
        <f aca="false">IF(G4=0,"no analytic studies",IF(I4&gt;1,"Elevated",IF(J4&lt;1,"Protective","Not significant")))</f>
        <v>Elevated</v>
      </c>
      <c r="M4" s="14" t="s">
        <v>269</v>
      </c>
    </row>
    <row r="5" customFormat="false" ht="15" hidden="false" customHeight="false" outlineLevel="0" collapsed="false">
      <c r="A5" s="18" t="s">
        <v>159</v>
      </c>
      <c r="B5" s="10" t="n">
        <f aca="false">'Study multipliers'!V49</f>
        <v>4</v>
      </c>
      <c r="C5" s="11" t="n">
        <f aca="false">'Study multipliers'!K49</f>
        <v>1.06844823427707</v>
      </c>
      <c r="D5" s="11" t="n">
        <f aca="false">'Study multipliers'!L49</f>
        <v>0.928669694291875</v>
      </c>
      <c r="E5" s="11" t="n">
        <f aca="false">'Study multipliers'!M49</f>
        <v>1.2292655142583</v>
      </c>
      <c r="F5" s="19" t="n">
        <f aca="false">'Study multipliers'!AA49</f>
        <v>0.0190163353477589</v>
      </c>
      <c r="G5" s="10" t="n">
        <f aca="false">'Study multipliers'!V50</f>
        <v>3</v>
      </c>
      <c r="H5" s="11" t="n">
        <f aca="false">'Study multipliers'!K50</f>
        <v>1.09102290990274</v>
      </c>
      <c r="I5" s="11" t="n">
        <f aca="false">'Study multipliers'!L50</f>
        <v>0.956865827697712</v>
      </c>
      <c r="J5" s="11" t="n">
        <f aca="false">'Study multipliers'!M50</f>
        <v>1.2439894449953</v>
      </c>
      <c r="K5" s="19" t="n">
        <f aca="false">'Study multipliers'!AA50</f>
        <v>0</v>
      </c>
      <c r="L5" s="10" t="str">
        <f aca="false">IF(G5=0,"no analytic studies",IF(I5&gt;1,"Elevated",IF(J5&lt;1,"Protective","Not significant")))</f>
        <v>Not significant</v>
      </c>
      <c r="M5" s="14" t="s">
        <v>270</v>
      </c>
    </row>
    <row r="6" customFormat="false" ht="15" hidden="false" customHeight="false" outlineLevel="0" collapsed="false">
      <c r="A6" s="18" t="s">
        <v>169</v>
      </c>
      <c r="B6" s="10" t="n">
        <f aca="false">'Study multipliers'!V60</f>
        <v>7</v>
      </c>
      <c r="C6" s="11" t="n">
        <f aca="false">'Study multipliers'!K60</f>
        <v>1.23649880370567</v>
      </c>
      <c r="D6" s="11" t="n">
        <f aca="false">'Study multipliers'!L60</f>
        <v>0.834759168801074</v>
      </c>
      <c r="E6" s="11" t="n">
        <f aca="false">'Study multipliers'!M60</f>
        <v>1.83158130956679</v>
      </c>
      <c r="F6" s="19" t="n">
        <f aca="false">'Study multipliers'!AA60</f>
        <v>0.842519638040193</v>
      </c>
      <c r="G6" s="10" t="n">
        <f aca="false">'Study multipliers'!V61</f>
        <v>6</v>
      </c>
      <c r="H6" s="11" t="n">
        <f aca="false">'Study multipliers'!K61</f>
        <v>1.15233874310252</v>
      </c>
      <c r="I6" s="11" t="n">
        <f aca="false">'Study multipliers'!L61</f>
        <v>0.764964720307917</v>
      </c>
      <c r="J6" s="11" t="n">
        <f aca="false">'Study multipliers'!M61</f>
        <v>1.7358768889637</v>
      </c>
      <c r="K6" s="19" t="n">
        <f aca="false">'Study multipliers'!AA61</f>
        <v>0.858129650695005</v>
      </c>
      <c r="L6" s="10" t="str">
        <f aca="false">IF(G6=0,"no analytic studies",IF(I6&gt;1,"Elevated",IF(J6&lt;1,"Protective","Not significant")))</f>
        <v>Not significant</v>
      </c>
      <c r="M6" s="14" t="s">
        <v>271</v>
      </c>
    </row>
    <row r="7" customFormat="false" ht="15" hidden="false" customHeight="false" outlineLevel="0" collapsed="false">
      <c r="A7" s="18" t="s">
        <v>186</v>
      </c>
      <c r="B7" s="10" t="n">
        <f aca="false">'Study multipliers'!V68</f>
        <v>4</v>
      </c>
      <c r="C7" s="11" t="n">
        <f aca="false">'Study multipliers'!K68</f>
        <v>1.18955754478195</v>
      </c>
      <c r="D7" s="11" t="n">
        <f aca="false">'Study multipliers'!L68</f>
        <v>0.720802515170895</v>
      </c>
      <c r="E7" s="11" t="n">
        <f aca="false">'Study multipliers'!M68</f>
        <v>1.96315512580054</v>
      </c>
      <c r="F7" s="19" t="n">
        <f aca="false">'Study multipliers'!AA68</f>
        <v>0.513924389701356</v>
      </c>
      <c r="G7" s="10" t="n">
        <f aca="false">'Study multipliers'!V69</f>
        <v>3</v>
      </c>
      <c r="H7" s="11" t="n">
        <f aca="false">'Study multipliers'!K69</f>
        <v>1.22429592953552</v>
      </c>
      <c r="I7" s="11" t="n">
        <f aca="false">'Study multipliers'!L69</f>
        <v>0.634742160224685</v>
      </c>
      <c r="J7" s="11" t="n">
        <f aca="false">'Study multipliers'!M69</f>
        <v>2.36143211685617</v>
      </c>
      <c r="K7" s="19" t="n">
        <f aca="false">'Study multipliers'!AA69</f>
        <v>0.674169196131395</v>
      </c>
      <c r="L7" s="10" t="str">
        <f aca="false">IF(G7=0,"no analytic studies",IF(I7&gt;1,"Elevated",IF(J7&lt;1,"Protective","Not significant")))</f>
        <v>Not significant</v>
      </c>
      <c r="M7" s="14" t="s">
        <v>272</v>
      </c>
    </row>
    <row r="8" customFormat="false" ht="15" hidden="false" customHeight="false" outlineLevel="0" collapsed="false">
      <c r="A8" s="18" t="s">
        <v>195</v>
      </c>
      <c r="B8" s="10" t="n">
        <f aca="false">'Study multipliers'!V81</f>
        <v>7</v>
      </c>
      <c r="C8" s="11" t="n">
        <f aca="false">'Study multipliers'!K81</f>
        <v>1.12498000531963</v>
      </c>
      <c r="D8" s="11" t="n">
        <f aca="false">'Study multipliers'!L81</f>
        <v>0.956961037690141</v>
      </c>
      <c r="E8" s="11" t="n">
        <f aca="false">'Study multipliers'!M81</f>
        <v>1.32249899684917</v>
      </c>
      <c r="F8" s="19" t="n">
        <f aca="false">'Study multipliers'!AA81</f>
        <v>0.0670093136101902</v>
      </c>
      <c r="G8" s="10" t="n">
        <f aca="false">'Study multipliers'!V82</f>
        <v>7</v>
      </c>
      <c r="H8" s="11" t="n">
        <f aca="false">'Study multipliers'!K82</f>
        <v>1.12498000531963</v>
      </c>
      <c r="I8" s="11" t="n">
        <f aca="false">'Study multipliers'!L82</f>
        <v>0.956961037690141</v>
      </c>
      <c r="J8" s="11" t="n">
        <f aca="false">'Study multipliers'!M82</f>
        <v>1.32249899684917</v>
      </c>
      <c r="K8" s="19" t="n">
        <f aca="false">'Study multipliers'!AA82</f>
        <v>0.0670093136101902</v>
      </c>
      <c r="L8" s="10" t="str">
        <f aca="false">IF(G8=0,"no analytic studies",IF(I8&gt;1,"Elevated",IF(J8&lt;1,"Protective","Not significant")))</f>
        <v>Not significant</v>
      </c>
      <c r="M8" s="14" t="s">
        <v>273</v>
      </c>
    </row>
    <row r="9" customFormat="false" ht="15" hidden="false" customHeight="false" outlineLevel="0" collapsed="false">
      <c r="A9" s="18" t="s">
        <v>217</v>
      </c>
      <c r="B9" s="10" t="n">
        <f aca="false">'Study multipliers'!V95</f>
        <v>6</v>
      </c>
      <c r="C9" s="11" t="n">
        <f aca="false">'Study multipliers'!K95</f>
        <v>0.925808961043607</v>
      </c>
      <c r="D9" s="11" t="n">
        <f aca="false">'Study multipliers'!L95</f>
        <v>0.638886781091782</v>
      </c>
      <c r="E9" s="11" t="n">
        <f aca="false">'Study multipliers'!M95</f>
        <v>1.34158705065696</v>
      </c>
      <c r="F9" s="19" t="n">
        <f aca="false">'Study multipliers'!AA95</f>
        <v>0.644659608028854</v>
      </c>
      <c r="G9" s="10" t="n">
        <f aca="false">'Study multipliers'!V96</f>
        <v>6</v>
      </c>
      <c r="H9" s="11" t="n">
        <f aca="false">'Study multipliers'!K96</f>
        <v>0.925808961043607</v>
      </c>
      <c r="I9" s="11" t="n">
        <f aca="false">'Study multipliers'!L96</f>
        <v>0.638886781091782</v>
      </c>
      <c r="J9" s="11" t="n">
        <f aca="false">'Study multipliers'!M96</f>
        <v>1.34158705065696</v>
      </c>
      <c r="K9" s="19" t="n">
        <f aca="false">'Study multipliers'!AA96</f>
        <v>0.644659608028854</v>
      </c>
      <c r="L9" s="10" t="str">
        <f aca="false">IF(G9=0,"no analytic studies",IF(I9&gt;1,"Elevated",IF(J9&lt;1,"Protective","Not significant")))</f>
        <v>Not significant</v>
      </c>
      <c r="M9" s="14" t="s">
        <v>274</v>
      </c>
    </row>
    <row r="10" customFormat="false" ht="15" hidden="false" customHeight="false" outlineLevel="0" collapsed="false">
      <c r="A10" s="18" t="s">
        <v>233</v>
      </c>
      <c r="B10" s="10" t="n">
        <f aca="false">'Study multipliers'!V102</f>
        <v>3</v>
      </c>
      <c r="C10" s="11" t="n">
        <f aca="false">'Study multipliers'!K102</f>
        <v>1.01637432820358</v>
      </c>
      <c r="D10" s="11" t="n">
        <f aca="false">'Study multipliers'!L102</f>
        <v>0.865734129129149</v>
      </c>
      <c r="E10" s="11" t="n">
        <f aca="false">'Study multipliers'!M102</f>
        <v>1.1932263500694</v>
      </c>
      <c r="F10" s="19" t="n">
        <f aca="false">'Study multipliers'!AA102</f>
        <v>0</v>
      </c>
      <c r="G10" s="10" t="n">
        <f aca="false">'Study multipliers'!V103</f>
        <v>3</v>
      </c>
      <c r="H10" s="11" t="n">
        <f aca="false">'Study multipliers'!K103</f>
        <v>1.01637432820358</v>
      </c>
      <c r="I10" s="11" t="n">
        <f aca="false">'Study multipliers'!L103</f>
        <v>0.865734129129149</v>
      </c>
      <c r="J10" s="11" t="n">
        <f aca="false">'Study multipliers'!M103</f>
        <v>1.1932263500694</v>
      </c>
      <c r="K10" s="19" t="n">
        <f aca="false">'Study multipliers'!AA103</f>
        <v>0</v>
      </c>
      <c r="L10" s="10" t="str">
        <f aca="false">IF(G10=0,"no analytic studies",IF(I10&gt;1,"Elevated",IF(J10&lt;1,"Protective","Not significant")))</f>
        <v>Not significant</v>
      </c>
      <c r="M10" s="14" t="s">
        <v>275</v>
      </c>
    </row>
    <row r="11" customFormat="false" ht="15" hidden="false" customHeight="false" outlineLevel="0" collapsed="false">
      <c r="A11" s="18" t="s">
        <v>240</v>
      </c>
      <c r="B11" s="10" t="n">
        <f aca="false">'Study multipliers'!V109</f>
        <v>2</v>
      </c>
      <c r="C11" s="11" t="n">
        <f aca="false">'Study multipliers'!K109</f>
        <v>0.845777924126254</v>
      </c>
      <c r="D11" s="11" t="n">
        <f aca="false">'Study multipliers'!L109</f>
        <v>0.520584208483327</v>
      </c>
      <c r="E11" s="11" t="n">
        <f aca="false">'Study multipliers'!M109</f>
        <v>1.37411063432637</v>
      </c>
      <c r="F11" s="19" t="n">
        <f aca="false">'Study multipliers'!AA109</f>
        <v>0</v>
      </c>
      <c r="G11" s="10" t="n">
        <f aca="false">'Study multipliers'!V110</f>
        <v>2</v>
      </c>
      <c r="H11" s="11" t="n">
        <f aca="false">'Study multipliers'!K110</f>
        <v>0.845777924126254</v>
      </c>
      <c r="I11" s="11" t="n">
        <f aca="false">'Study multipliers'!L110</f>
        <v>0.520584208483327</v>
      </c>
      <c r="J11" s="11" t="n">
        <f aca="false">'Study multipliers'!M110</f>
        <v>1.37411063432637</v>
      </c>
      <c r="K11" s="19" t="n">
        <f aca="false">'Study multipliers'!AA110</f>
        <v>0</v>
      </c>
      <c r="L11" s="10" t="str">
        <f aca="false">IF(G11=0,"no analytic studies",IF(I11&gt;1,"Elevated",IF(J11&lt;1,"Protective","Not significant")))</f>
        <v>Not significant</v>
      </c>
      <c r="M11" s="14" t="s">
        <v>276</v>
      </c>
    </row>
    <row r="12" customFormat="false" ht="15" hidden="false" customHeight="false" outlineLevel="0" collapsed="false">
      <c r="A12" s="18" t="s">
        <v>244</v>
      </c>
      <c r="B12" s="10" t="n">
        <f aca="false">'Study multipliers'!V115</f>
        <v>2</v>
      </c>
      <c r="C12" s="11" t="n">
        <f aca="false">'Study multipliers'!K115</f>
        <v>2.10187463913335</v>
      </c>
      <c r="D12" s="11" t="n">
        <f aca="false">'Study multipliers'!L115</f>
        <v>1.39949676024445</v>
      </c>
      <c r="E12" s="11" t="n">
        <f aca="false">'Study multipliers'!M115</f>
        <v>3.1567611473858</v>
      </c>
      <c r="F12" s="19" t="n">
        <f aca="false">'Study multipliers'!AA115</f>
        <v>0</v>
      </c>
      <c r="G12" s="10" t="n">
        <f aca="false">'Study multipliers'!V116</f>
        <v>1</v>
      </c>
      <c r="H12" s="11" t="n">
        <f aca="false">'Study multipliers'!K116</f>
        <v>2.14</v>
      </c>
      <c r="I12" s="11" t="n">
        <f aca="false">'Study multipliers'!L116</f>
        <v>1.29683229883414</v>
      </c>
      <c r="J12" s="11" t="n">
        <f aca="false">'Study multipliers'!M116</f>
        <v>3.53137410605604</v>
      </c>
      <c r="K12" s="19" t="n">
        <f aca="false">'Study multipliers'!AA116</f>
        <v>0</v>
      </c>
      <c r="L12" s="10" t="str">
        <f aca="false">IF(G12=0,"no analytic studies",IF(I12&gt;1,"Elevated",IF(J12&lt;1,"Protective","Not significant")))</f>
        <v>Elevated</v>
      </c>
      <c r="M12" s="14" t="s">
        <v>277</v>
      </c>
    </row>
    <row r="13" customFormat="false" ht="15" hidden="false" customHeight="false" outlineLevel="0" collapsed="false">
      <c r="A13" s="18" t="s">
        <v>249</v>
      </c>
      <c r="B13" s="10" t="n">
        <f aca="false">'Study multipliers'!V120</f>
        <v>1</v>
      </c>
      <c r="C13" s="11" t="n">
        <f aca="false">'Study multipliers'!K120</f>
        <v>0.65</v>
      </c>
      <c r="D13" s="11" t="n">
        <f aca="false">'Study multipliers'!L120</f>
        <v>0.399291825942068</v>
      </c>
      <c r="E13" s="11" t="n">
        <f aca="false">'Study multipliers'!M120</f>
        <v>1.05812333874648</v>
      </c>
      <c r="F13" s="19" t="n">
        <f aca="false">'Study multipliers'!AA120</f>
        <v>0</v>
      </c>
      <c r="G13" s="10" t="n">
        <f aca="false">'Study multipliers'!V121</f>
        <v>1</v>
      </c>
      <c r="H13" s="11" t="n">
        <f aca="false">'Study multipliers'!K121</f>
        <v>0.65</v>
      </c>
      <c r="I13" s="11" t="n">
        <f aca="false">'Study multipliers'!L121</f>
        <v>0.399291825942068</v>
      </c>
      <c r="J13" s="11" t="n">
        <f aca="false">'Study multipliers'!M121</f>
        <v>1.05812333874648</v>
      </c>
      <c r="K13" s="19" t="n">
        <f aca="false">'Study multipliers'!AA121</f>
        <v>0</v>
      </c>
      <c r="L13" s="10" t="str">
        <f aca="false">IF(G13=0,"no analytic studies",IF(I13&gt;1,"Elevated",IF(J13&lt;1,"Protective","Not significant")))</f>
        <v>Not significant</v>
      </c>
      <c r="M13" s="14" t="s">
        <v>278</v>
      </c>
    </row>
    <row r="14" customFormat="false" ht="15" hidden="false" customHeight="false" outlineLevel="0" collapsed="false">
      <c r="A14" s="18" t="s">
        <v>250</v>
      </c>
      <c r="B14" s="10" t="n">
        <f aca="false">'Study multipliers'!V126</f>
        <v>1</v>
      </c>
      <c r="C14" s="11" t="n">
        <f aca="false">'Study multipliers'!K126</f>
        <v>1.06</v>
      </c>
      <c r="D14" s="11" t="n">
        <f aca="false">'Study multipliers'!L126</f>
        <v>0.759594486409547</v>
      </c>
      <c r="E14" s="11" t="n">
        <f aca="false">'Study multipliers'!M126</f>
        <v>1.47921031563964</v>
      </c>
      <c r="F14" s="19" t="n">
        <f aca="false">'Study multipliers'!AA126</f>
        <v>0</v>
      </c>
      <c r="G14" s="10" t="n">
        <f aca="false">'Study multipliers'!V127</f>
        <v>1</v>
      </c>
      <c r="H14" s="11" t="n">
        <f aca="false">'Study multipliers'!K127</f>
        <v>1.06</v>
      </c>
      <c r="I14" s="11" t="n">
        <f aca="false">'Study multipliers'!L127</f>
        <v>0.759594486409547</v>
      </c>
      <c r="J14" s="11" t="n">
        <f aca="false">'Study multipliers'!M127</f>
        <v>1.47921031563964</v>
      </c>
      <c r="K14" s="19" t="n">
        <f aca="false">'Study multipliers'!AA127</f>
        <v>0</v>
      </c>
      <c r="L14" s="10" t="str">
        <f aca="false">IF(G14=0,"no analytic studies",IF(I14&gt;1,"Elevated",IF(J14&lt;1,"Protective","Not significant")))</f>
        <v>Not significant</v>
      </c>
      <c r="M14" s="14" t="s">
        <v>279</v>
      </c>
    </row>
    <row r="15" customFormat="false" ht="15" hidden="false" customHeight="false" outlineLevel="0" collapsed="false">
      <c r="A15" s="18" t="s">
        <v>252</v>
      </c>
      <c r="B15" s="10" t="n">
        <f aca="false">'Study multipliers'!V131</f>
        <v>1</v>
      </c>
      <c r="C15" s="11" t="n">
        <f aca="false">'Study multipliers'!K131</f>
        <v>2.18</v>
      </c>
      <c r="D15" s="11" t="n">
        <f aca="false">'Study multipliers'!L131</f>
        <v>0.827531050105607</v>
      </c>
      <c r="E15" s="11" t="n">
        <f aca="false">'Study multipliers'!M131</f>
        <v>5.7428660826606</v>
      </c>
      <c r="F15" s="19" t="n">
        <f aca="false">'Study multipliers'!AA131</f>
        <v>0</v>
      </c>
      <c r="G15" s="10" t="n">
        <f aca="false">'Study multipliers'!V132</f>
        <v>1</v>
      </c>
      <c r="H15" s="11" t="n">
        <f aca="false">'Study multipliers'!K132</f>
        <v>2.18</v>
      </c>
      <c r="I15" s="11" t="n">
        <f aca="false">'Study multipliers'!L132</f>
        <v>0.827531050105607</v>
      </c>
      <c r="J15" s="11" t="n">
        <f aca="false">'Study multipliers'!M132</f>
        <v>5.7428660826606</v>
      </c>
      <c r="K15" s="19" t="n">
        <f aca="false">'Study multipliers'!AA132</f>
        <v>0</v>
      </c>
      <c r="L15" s="10" t="str">
        <f aca="false">IF(G15=0,"no analytic studies",IF(I15&gt;1,"Elevated",IF(J15&lt;1,"Protective","Not significant")))</f>
        <v>Not significant</v>
      </c>
      <c r="M15" s="14" t="s">
        <v>280</v>
      </c>
    </row>
    <row r="16" customFormat="false" ht="15" hidden="false" customHeight="false" outlineLevel="0" collapsed="false">
      <c r="A16" s="18" t="s">
        <v>254</v>
      </c>
      <c r="B16" s="10" t="n">
        <f aca="false">'Study multipliers'!V136</f>
        <v>1</v>
      </c>
      <c r="C16" s="11" t="n">
        <f aca="false">'Study multipliers'!K136</f>
        <v>0.83</v>
      </c>
      <c r="D16" s="11" t="n">
        <f aca="false">'Study multipliers'!L136</f>
        <v>0.54837060229403</v>
      </c>
      <c r="E16" s="11" t="n">
        <f aca="false">'Study multipliers'!M136</f>
        <v>1.25626719798269</v>
      </c>
      <c r="F16" s="19" t="n">
        <f aca="false">'Study multipliers'!AA136</f>
        <v>0</v>
      </c>
      <c r="G16" s="10" t="n">
        <f aca="false">'Study multipliers'!V137</f>
        <v>1</v>
      </c>
      <c r="H16" s="11" t="n">
        <f aca="false">'Study multipliers'!K137</f>
        <v>0.83</v>
      </c>
      <c r="I16" s="11" t="n">
        <f aca="false">'Study multipliers'!L137</f>
        <v>0.54837060229403</v>
      </c>
      <c r="J16" s="11" t="n">
        <f aca="false">'Study multipliers'!M137</f>
        <v>1.25626719798269</v>
      </c>
      <c r="K16" s="19" t="n">
        <f aca="false">'Study multipliers'!AA137</f>
        <v>0</v>
      </c>
      <c r="L16" s="10" t="str">
        <f aca="false">IF(G16=0,"no analytic studies",IF(I16&gt;1,"Elevated",IF(J16&lt;1,"Protective","Not significant")))</f>
        <v>Not significant</v>
      </c>
      <c r="M16" s="14" t="s">
        <v>281</v>
      </c>
    </row>
    <row r="17" customFormat="false" ht="15" hidden="false" customHeight="false" outlineLevel="0" collapsed="false">
      <c r="A17" s="18" t="s">
        <v>256</v>
      </c>
      <c r="B17" s="10" t="n">
        <f aca="false">'Study multipliers'!V141</f>
        <v>1</v>
      </c>
      <c r="C17" s="11" t="n">
        <f aca="false">'Study multipliers'!K141</f>
        <v>0.92</v>
      </c>
      <c r="D17" s="11" t="n">
        <f aca="false">'Study multipliers'!L141</f>
        <v>0.593020437621352</v>
      </c>
      <c r="E17" s="11" t="n">
        <f aca="false">'Study multipliers'!M141</f>
        <v>1.42726952783444</v>
      </c>
      <c r="F17" s="19" t="n">
        <f aca="false">'Study multipliers'!AA141</f>
        <v>0</v>
      </c>
      <c r="G17" s="10" t="n">
        <f aca="false">'Study multipliers'!V142</f>
        <v>1</v>
      </c>
      <c r="H17" s="11" t="n">
        <f aca="false">'Study multipliers'!K142</f>
        <v>0.92</v>
      </c>
      <c r="I17" s="11" t="n">
        <f aca="false">'Study multipliers'!L142</f>
        <v>0.593020437621352</v>
      </c>
      <c r="J17" s="11" t="n">
        <f aca="false">'Study multipliers'!M142</f>
        <v>1.42726952783444</v>
      </c>
      <c r="K17" s="19" t="n">
        <f aca="false">'Study multipliers'!AA142</f>
        <v>0</v>
      </c>
      <c r="L17" s="10" t="str">
        <f aca="false">IF(G17=0,"no analytic studies",IF(I17&gt;1,"Elevated",IF(J17&lt;1,"Protective","Not significant")))</f>
        <v>Not significant</v>
      </c>
      <c r="M17" s="14" t="s">
        <v>282</v>
      </c>
    </row>
    <row r="18" customFormat="false" ht="15" hidden="false" customHeight="false" outlineLevel="0" collapsed="false">
      <c r="A18" s="18" t="s">
        <v>258</v>
      </c>
      <c r="B18" s="10" t="n">
        <f aca="false">'Study multipliers'!V146</f>
        <v>1</v>
      </c>
      <c r="C18" s="11" t="n">
        <f aca="false">'Study multipliers'!K146</f>
        <v>1.98</v>
      </c>
      <c r="D18" s="11" t="n">
        <f aca="false">'Study multipliers'!L146</f>
        <v>1.1037225148698</v>
      </c>
      <c r="E18" s="11" t="n">
        <f aca="false">'Study multipliers'!M146</f>
        <v>3.55197972967189</v>
      </c>
      <c r="F18" s="19" t="n">
        <f aca="false">'Study multipliers'!AA146</f>
        <v>0</v>
      </c>
      <c r="G18" s="10" t="n">
        <f aca="false">'Study multipliers'!V147</f>
        <v>1</v>
      </c>
      <c r="H18" s="11" t="n">
        <f aca="false">'Study multipliers'!K147</f>
        <v>1.98</v>
      </c>
      <c r="I18" s="11" t="n">
        <f aca="false">'Study multipliers'!L147</f>
        <v>1.1037225148698</v>
      </c>
      <c r="J18" s="11" t="n">
        <f aca="false">'Study multipliers'!M147</f>
        <v>3.55197972967189</v>
      </c>
      <c r="K18" s="19" t="n">
        <f aca="false">'Study multipliers'!AA147</f>
        <v>0</v>
      </c>
      <c r="L18" s="10" t="str">
        <f aca="false">IF(G18=0,"no analytic studies",IF(I18&gt;1,"Elevated",IF(J18&lt;1,"Protective","Not significant")))</f>
        <v>Elevated</v>
      </c>
      <c r="M18" s="14" t="s">
        <v>283</v>
      </c>
    </row>
    <row r="19" customFormat="false" ht="15" hidden="false" customHeight="false" outlineLevel="0" collapsed="false">
      <c r="A19" s="18" t="s">
        <v>259</v>
      </c>
      <c r="B19" s="10" t="n">
        <f aca="false">'Study multipliers'!V152</f>
        <v>1</v>
      </c>
      <c r="C19" s="11" t="n">
        <f aca="false">'Study multipliers'!K152</f>
        <v>1.7</v>
      </c>
      <c r="D19" s="11" t="n">
        <f aca="false">'Study multipliers'!L152</f>
        <v>0.74241872754552</v>
      </c>
      <c r="E19" s="11" t="n">
        <f aca="false">'Study multipliers'!M152</f>
        <v>3.89268197686029</v>
      </c>
      <c r="F19" s="19" t="n">
        <f aca="false">'Study multipliers'!AA152</f>
        <v>0</v>
      </c>
      <c r="G19" s="10" t="n">
        <f aca="false">'Study multipliers'!V153</f>
        <v>1</v>
      </c>
      <c r="H19" s="11" t="n">
        <f aca="false">'Study multipliers'!K153</f>
        <v>1.7</v>
      </c>
      <c r="I19" s="11" t="n">
        <f aca="false">'Study multipliers'!L153</f>
        <v>0.74241872754552</v>
      </c>
      <c r="J19" s="11" t="n">
        <f aca="false">'Study multipliers'!M153</f>
        <v>3.89268197686029</v>
      </c>
      <c r="K19" s="19" t="n">
        <f aca="false">'Study multipliers'!AA153</f>
        <v>0</v>
      </c>
      <c r="L19" s="10" t="str">
        <f aca="false">IF(G19=0,"no analytic studies",IF(I19&gt;1,"Elevated",IF(J19&lt;1,"Protective","Not significant")))</f>
        <v>Not significant</v>
      </c>
      <c r="M19" s="14" t="s">
        <v>284</v>
      </c>
    </row>
    <row r="20" customFormat="false" ht="15" hidden="false" customHeight="false" outlineLevel="0" collapsed="false">
      <c r="A20" s="18" t="s">
        <v>261</v>
      </c>
      <c r="B20" s="10" t="n">
        <f aca="false">'Study multipliers'!V157</f>
        <v>0</v>
      </c>
      <c r="C20" s="11" t="str">
        <f aca="false">'Study multipliers'!K157</f>
        <v/>
      </c>
      <c r="D20" s="11" t="str">
        <f aca="false">'Study multipliers'!L157</f>
        <v/>
      </c>
      <c r="E20" s="11" t="str">
        <f aca="false">'Study multipliers'!M157</f>
        <v/>
      </c>
      <c r="F20" s="19" t="n">
        <f aca="false">'Study multipliers'!AA157</f>
        <v>0</v>
      </c>
      <c r="G20" s="10" t="n">
        <f aca="false">'Study multipliers'!V158</f>
        <v>0</v>
      </c>
      <c r="H20" s="11" t="str">
        <f aca="false">'Study multipliers'!K158</f>
        <v/>
      </c>
      <c r="I20" s="11" t="str">
        <f aca="false">'Study multipliers'!L158</f>
        <v/>
      </c>
      <c r="J20" s="11" t="str">
        <f aca="false">'Study multipliers'!M158</f>
        <v/>
      </c>
      <c r="K20" s="19" t="n">
        <f aca="false">'Study multipliers'!AA158</f>
        <v>0</v>
      </c>
      <c r="L20" s="10" t="str">
        <f aca="false">IF(G20=0,"no analytic studies",IF(I20&gt;1,"Elevated",IF(J20&lt;1,"Protective","Not significant")))</f>
        <v>no analytic studies</v>
      </c>
      <c r="M20" s="14" t="s">
        <v>285</v>
      </c>
    </row>
    <row r="21" customFormat="false" ht="15" hidden="false" customHeight="false" outlineLevel="0" collapsed="false">
      <c r="A21" s="18" t="s">
        <v>262</v>
      </c>
      <c r="B21" s="10" t="n">
        <f aca="false">'Study multipliers'!V162</f>
        <v>0</v>
      </c>
      <c r="C21" s="11" t="str">
        <f aca="false">'Study multipliers'!K162</f>
        <v/>
      </c>
      <c r="D21" s="11" t="str">
        <f aca="false">'Study multipliers'!L162</f>
        <v/>
      </c>
      <c r="E21" s="11" t="str">
        <f aca="false">'Study multipliers'!M162</f>
        <v/>
      </c>
      <c r="F21" s="19" t="n">
        <f aca="false">'Study multipliers'!AA162</f>
        <v>0</v>
      </c>
      <c r="G21" s="10" t="n">
        <f aca="false">'Study multipliers'!V163</f>
        <v>0</v>
      </c>
      <c r="H21" s="11" t="str">
        <f aca="false">'Study multipliers'!K163</f>
        <v/>
      </c>
      <c r="I21" s="11" t="str">
        <f aca="false">'Study multipliers'!L163</f>
        <v/>
      </c>
      <c r="J21" s="11" t="str">
        <f aca="false">'Study multipliers'!M163</f>
        <v/>
      </c>
      <c r="K21" s="19" t="n">
        <f aca="false">'Study multipliers'!AA163</f>
        <v>0</v>
      </c>
      <c r="L21" s="10" t="str">
        <f aca="false">IF(G21=0,"no analytic studies",IF(I21&gt;1,"Elevated",IF(J21&lt;1,"Protective","Not significant")))</f>
        <v>no analytic studies</v>
      </c>
      <c r="M21" s="14" t="s">
        <v>286</v>
      </c>
    </row>
    <row r="23" customFormat="false" ht="25.5" hidden="false" customHeight="true" outlineLevel="0" collapsed="false">
      <c r="A23" s="20" t="s">
        <v>287</v>
      </c>
      <c r="B23" s="20"/>
      <c r="C23" s="20"/>
      <c r="D23" s="20"/>
      <c r="E23" s="20"/>
      <c r="F23" s="20"/>
      <c r="G23" s="20"/>
      <c r="H23" s="20"/>
      <c r="I23" s="20"/>
      <c r="J23" s="20"/>
      <c r="K23" s="20"/>
      <c r="L23" s="20"/>
      <c r="M23" s="20"/>
    </row>
    <row r="24" customFormat="false" ht="25.5" hidden="false" customHeight="true" outlineLevel="0" collapsed="false">
      <c r="A24" s="20" t="s">
        <v>288</v>
      </c>
      <c r="B24" s="20"/>
      <c r="C24" s="20"/>
      <c r="D24" s="20"/>
      <c r="E24" s="20"/>
      <c r="F24" s="20"/>
      <c r="G24" s="20"/>
      <c r="H24" s="20"/>
      <c r="I24" s="20"/>
      <c r="J24" s="20"/>
      <c r="K24" s="20"/>
      <c r="L24" s="20"/>
      <c r="M24" s="20"/>
    </row>
    <row r="25" customFormat="false" ht="25.5" hidden="false" customHeight="true" outlineLevel="0" collapsed="false">
      <c r="A25" s="20" t="s">
        <v>289</v>
      </c>
      <c r="B25" s="20"/>
      <c r="C25" s="20"/>
      <c r="D25" s="20"/>
      <c r="E25" s="20"/>
      <c r="F25" s="20"/>
      <c r="G25" s="20"/>
      <c r="H25" s="20"/>
      <c r="I25" s="20"/>
      <c r="J25" s="20"/>
      <c r="K25" s="20"/>
      <c r="L25" s="20"/>
      <c r="M25" s="20"/>
    </row>
    <row r="26" customFormat="false" ht="25.5" hidden="false" customHeight="true" outlineLevel="0" collapsed="false">
      <c r="A26" s="21" t="s">
        <v>290</v>
      </c>
      <c r="B26" s="21"/>
      <c r="C26" s="21"/>
      <c r="D26" s="21"/>
      <c r="E26" s="21"/>
      <c r="F26" s="21"/>
      <c r="G26" s="21"/>
      <c r="H26" s="21"/>
      <c r="I26" s="21"/>
      <c r="J26" s="21"/>
      <c r="K26" s="21"/>
      <c r="L26" s="21"/>
      <c r="M26" s="21"/>
    </row>
  </sheetData>
  <mergeCells count="4">
    <mergeCell ref="A23:M23"/>
    <mergeCell ref="A24:M24"/>
    <mergeCell ref="A25:M25"/>
    <mergeCell ref="A26:M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7"/>
    <col collapsed="false" customWidth="true" hidden="false" outlineLevel="0" max="5" min="4" style="0" width="13"/>
    <col collapsed="false" customWidth="true" hidden="false" outlineLevel="0" max="7" min="6" style="0" width="12"/>
    <col collapsed="false" customWidth="true" hidden="false" outlineLevel="0" max="8" min="8" style="0" width="8"/>
    <col collapsed="false" customWidth="true" hidden="false" outlineLevel="0" max="9" min="9" style="0" width="11"/>
    <col collapsed="false" customWidth="true" hidden="false" outlineLevel="0" max="10" min="10" style="0" width="13"/>
    <col collapsed="false" customWidth="true" hidden="false" outlineLevel="0" max="12" min="11" style="0" width="10"/>
    <col collapsed="false" customWidth="true" hidden="false" outlineLevel="0" max="13" min="13" style="0" width="8"/>
    <col collapsed="false" customWidth="true" hidden="false" outlineLevel="0" max="14" min="14" style="0" width="6"/>
    <col collapsed="false" customWidth="true" hidden="false" outlineLevel="0" max="20" min="15" style="0" width="8"/>
  </cols>
  <sheetData>
    <row r="1" customFormat="false" ht="17.35" hidden="false" customHeight="false" outlineLevel="0" collapsed="false">
      <c r="A1" s="22" t="s">
        <v>291</v>
      </c>
    </row>
    <row r="2" customFormat="false" ht="42" hidden="false" customHeight="true" outlineLevel="0" collapsed="false">
      <c r="A2" s="20" t="s">
        <v>292</v>
      </c>
      <c r="B2" s="20"/>
      <c r="C2" s="20"/>
      <c r="D2" s="20"/>
      <c r="E2" s="20"/>
      <c r="F2" s="20"/>
      <c r="G2" s="20"/>
      <c r="H2" s="20"/>
      <c r="I2" s="20"/>
      <c r="J2" s="20"/>
      <c r="K2" s="20"/>
      <c r="L2" s="20"/>
      <c r="M2" s="20"/>
    </row>
    <row r="4" customFormat="false" ht="42" hidden="false" customHeight="true" outlineLevel="0" collapsed="false">
      <c r="A4" s="6" t="s">
        <v>24</v>
      </c>
      <c r="B4" s="6" t="s">
        <v>25</v>
      </c>
      <c r="C4" s="6" t="s">
        <v>26</v>
      </c>
      <c r="D4" s="6" t="s">
        <v>293</v>
      </c>
      <c r="E4" s="6" t="s">
        <v>294</v>
      </c>
      <c r="F4" s="6" t="s">
        <v>295</v>
      </c>
      <c r="G4" s="6" t="s">
        <v>296</v>
      </c>
      <c r="H4" s="6" t="s">
        <v>297</v>
      </c>
      <c r="I4" s="6" t="s">
        <v>298</v>
      </c>
      <c r="J4" s="6" t="s">
        <v>264</v>
      </c>
      <c r="K4" s="6" t="s">
        <v>35</v>
      </c>
      <c r="L4" s="6" t="s">
        <v>36</v>
      </c>
      <c r="M4" s="6" t="s">
        <v>50</v>
      </c>
      <c r="N4" s="7" t="s">
        <v>45</v>
      </c>
      <c r="O4" s="7" t="s">
        <v>299</v>
      </c>
      <c r="P4" s="7" t="s">
        <v>47</v>
      </c>
      <c r="Q4" s="7" t="s">
        <v>48</v>
      </c>
      <c r="R4" s="7" t="s">
        <v>49</v>
      </c>
      <c r="S4" s="7" t="s">
        <v>51</v>
      </c>
      <c r="T4" s="7" t="s">
        <v>52</v>
      </c>
    </row>
    <row r="5" customFormat="false" ht="15" hidden="false" customHeight="false" outlineLevel="0" collapsed="false">
      <c r="A5" s="8" t="s">
        <v>53</v>
      </c>
      <c r="B5" s="9"/>
      <c r="C5" s="9"/>
      <c r="D5" s="9"/>
      <c r="E5" s="9"/>
      <c r="F5" s="9"/>
      <c r="G5" s="9"/>
      <c r="H5" s="9"/>
      <c r="I5" s="9"/>
      <c r="J5" s="9"/>
      <c r="K5" s="9"/>
      <c r="L5" s="9"/>
      <c r="M5" s="9"/>
    </row>
    <row r="6" customFormat="false" ht="15" hidden="false" customHeight="false" outlineLevel="0" collapsed="false">
      <c r="A6" s="10" t="s">
        <v>53</v>
      </c>
      <c r="B6" s="10" t="s">
        <v>78</v>
      </c>
      <c r="C6" s="10" t="n">
        <v>1992</v>
      </c>
      <c r="D6" s="12" t="n">
        <f aca="false">'Study multipliers'!I7-'Study multipliers'!H7</f>
        <v>44.22</v>
      </c>
      <c r="E6" s="12" t="n">
        <f aca="false">'Study multipliers'!K7</f>
        <v>1.5</v>
      </c>
      <c r="F6" s="12" t="n">
        <f aca="false">'Study multipliers'!N7*10/D6</f>
        <v>0.0916926974464415</v>
      </c>
      <c r="G6" s="12" t="n">
        <f aca="false">'Study multipliers'!O7*10/D6</f>
        <v>0.289861044000038</v>
      </c>
      <c r="H6" s="13" t="n">
        <v>1</v>
      </c>
      <c r="I6" s="12" t="n">
        <f aca="false">IF(H6=1,1/(G6^2+$R$10),0)</f>
        <v>4.11159201657533</v>
      </c>
      <c r="J6" s="13"/>
      <c r="K6" s="13"/>
      <c r="L6" s="13"/>
      <c r="M6" s="13"/>
    </row>
    <row r="7" customFormat="false" ht="15" hidden="false" customHeight="false" outlineLevel="0" collapsed="false">
      <c r="A7" s="10" t="s">
        <v>53</v>
      </c>
      <c r="B7" s="10" t="s">
        <v>87</v>
      </c>
      <c r="C7" s="10" t="n">
        <v>1998</v>
      </c>
      <c r="D7" s="12" t="n">
        <f aca="false">'Study multipliers'!I10-'Study multipliers'!H10</f>
        <v>16.48</v>
      </c>
      <c r="E7" s="12" t="n">
        <f aca="false">'Study multipliers'!K10</f>
        <v>0.88</v>
      </c>
      <c r="F7" s="12" t="n">
        <f aca="false">'Study multipliers'!N10*10/D7</f>
        <v>-0.0775687933919205</v>
      </c>
      <c r="G7" s="12" t="n">
        <f aca="false">'Study multipliers'!O10*10/D7</f>
        <v>0.124653146288076</v>
      </c>
      <c r="H7" s="13" t="n">
        <v>1</v>
      </c>
      <c r="I7" s="12" t="n">
        <f aca="false">IF(H7=1,1/(G7^2+$R$10),0)</f>
        <v>5.72299202828107</v>
      </c>
      <c r="J7" s="13"/>
      <c r="K7" s="13"/>
      <c r="L7" s="13"/>
      <c r="M7" s="13"/>
    </row>
    <row r="8" customFormat="false" ht="15" hidden="false" customHeight="false" outlineLevel="0" collapsed="false">
      <c r="A8" s="10" t="s">
        <v>53</v>
      </c>
      <c r="B8" s="10" t="s">
        <v>93</v>
      </c>
      <c r="C8" s="10" t="n">
        <v>2008</v>
      </c>
      <c r="D8" s="12" t="n">
        <f aca="false">'Study multipliers'!I11-'Study multipliers'!H11</f>
        <v>8.27</v>
      </c>
      <c r="E8" s="12" t="n">
        <f aca="false">'Study multipliers'!K11</f>
        <v>1.2</v>
      </c>
      <c r="F8" s="12" t="n">
        <f aca="false">'Study multipliers'!N11*10/D8</f>
        <v>0.220461374599703</v>
      </c>
      <c r="G8" s="12" t="n">
        <f aca="false">'Study multipliers'!O11*10/D8</f>
        <v>0.520207637888921</v>
      </c>
      <c r="H8" s="13" t="n">
        <v>1</v>
      </c>
      <c r="I8" s="12" t="n">
        <f aca="false">IF(H8=1,1/(G8^2+$R$10),0)</f>
        <v>2.32660210060966</v>
      </c>
      <c r="J8" s="13"/>
      <c r="K8" s="13"/>
      <c r="L8" s="13"/>
      <c r="M8" s="13"/>
    </row>
    <row r="9" customFormat="false" ht="15" hidden="false" customHeight="false" outlineLevel="0" collapsed="false">
      <c r="A9" s="10" t="s">
        <v>53</v>
      </c>
      <c r="B9" s="10" t="s">
        <v>97</v>
      </c>
      <c r="C9" s="10" t="n">
        <v>1998</v>
      </c>
      <c r="D9" s="12" t="n">
        <f aca="false">'Study multipliers'!I13-'Study multipliers'!H13</f>
        <v>1.02</v>
      </c>
      <c r="E9" s="12" t="n">
        <f aca="false">'Study multipliers'!K13</f>
        <v>1.14</v>
      </c>
      <c r="F9" s="12" t="n">
        <f aca="false">'Study multipliers'!N13*10/D9</f>
        <v>1.28459080790592</v>
      </c>
      <c r="G9" s="12" t="n">
        <f aca="false">'Study multipliers'!O13*10/D9</f>
        <v>0.459999540810214</v>
      </c>
      <c r="H9" s="13" t="n">
        <v>1</v>
      </c>
      <c r="I9" s="12" t="n">
        <f aca="false">IF(H9=1,1/(G9^2+$R$10),0)</f>
        <v>2.69690839194607</v>
      </c>
      <c r="J9" s="13"/>
      <c r="K9" s="13"/>
      <c r="L9" s="13"/>
      <c r="M9" s="13"/>
    </row>
    <row r="10" customFormat="false" ht="15" hidden="false" customHeight="false" outlineLevel="0" collapsed="false">
      <c r="A10" s="23"/>
      <c r="B10" s="23" t="s">
        <v>300</v>
      </c>
      <c r="C10" s="23"/>
      <c r="D10" s="23"/>
      <c r="E10" s="23"/>
      <c r="F10" s="23"/>
      <c r="G10" s="23"/>
      <c r="H10" s="23"/>
      <c r="I10" s="23"/>
      <c r="J10" s="24" t="n">
        <f aca="false">EXP(S10)</f>
        <v>1.30106734100819</v>
      </c>
      <c r="K10" s="24" t="n">
        <f aca="false">EXP(S10-1.959964*T10)</f>
        <v>0.782480366647975</v>
      </c>
      <c r="L10" s="24" t="n">
        <f aca="false">EXP(S10+1.959964*T10)</f>
        <v>2.16334658093685</v>
      </c>
      <c r="M10" s="25" t="n">
        <f aca="false">IF(AND(N10&gt;1,P10&gt;0),MAX(0,(P10-(N10-1))/P10),0)</f>
        <v>0.64115939534584</v>
      </c>
      <c r="N10" s="23" t="n">
        <f aca="false">SUM($H$6:$H$9)</f>
        <v>4</v>
      </c>
      <c r="O10" s="23" t="n">
        <f aca="false">SUMPRODUCT($H$6:$H$9,1/$G$6:$G$9^2,$F$6:$F$9)/SUMPRODUCT($H$6:$H$9,1/$G$6:$G$9^2)</f>
        <v>0.0352478284168213</v>
      </c>
      <c r="P10" s="23" t="n">
        <f aca="false">IF(N10&gt;1,SUMPRODUCT($H$6:$H$9,1/$G$6:$G$9^2,($F$6:$F$9-O10)^2),0)</f>
        <v>8.36025790027667</v>
      </c>
      <c r="Q10" s="23" t="n">
        <f aca="false">IF(N10&gt;1,SUMPRODUCT($H$6:$H$9,1/$G$6:$G$9^2)-SUMPRODUCT($H$6:$H$9,1/$G$6:$G$9^2,1/$G$6:$G$9^2)/SUMPRODUCT($H$6:$H$9,1/$G$6:$G$9^2),0)</f>
        <v>33.6709413833942</v>
      </c>
      <c r="R10" s="23" t="n">
        <f aca="false">IF(Q10&gt;0,MAX(0,(P10-(N10-1))/Q10),0)</f>
        <v>0.159195367876475</v>
      </c>
      <c r="S10" s="23" t="n">
        <f aca="false">SUMPRODUCT($I$6:$I$9,$F$6:$F$9)/SUM($I$6:$I$9)</f>
        <v>0.263184959150221</v>
      </c>
      <c r="T10" s="23" t="n">
        <f aca="false">SQRT(1/SUM($I$6:$I$9))</f>
        <v>0.259428952051436</v>
      </c>
    </row>
    <row r="12" customFormat="false" ht="15" hidden="false" customHeight="false" outlineLevel="0" collapsed="false">
      <c r="A12" s="8" t="s">
        <v>104</v>
      </c>
      <c r="B12" s="9"/>
      <c r="C12" s="9"/>
      <c r="D12" s="9"/>
      <c r="E12" s="9"/>
      <c r="F12" s="9"/>
      <c r="G12" s="9"/>
      <c r="H12" s="9"/>
      <c r="I12" s="9"/>
      <c r="J12" s="9"/>
      <c r="K12" s="9"/>
      <c r="L12" s="9"/>
      <c r="M12" s="9"/>
    </row>
    <row r="13" customFormat="false" ht="15" hidden="false" customHeight="false" outlineLevel="0" collapsed="false">
      <c r="A13" s="10" t="s">
        <v>104</v>
      </c>
      <c r="B13" s="10" t="s">
        <v>105</v>
      </c>
      <c r="C13" s="10" t="n">
        <v>2013</v>
      </c>
      <c r="D13" s="12" t="n">
        <f aca="false">'Study multipliers'!I19-'Study multipliers'!H19</f>
        <v>0.94</v>
      </c>
      <c r="E13" s="12" t="n">
        <f aca="false">'Study multipliers'!K19</f>
        <v>1.05</v>
      </c>
      <c r="F13" s="12" t="n">
        <f aca="false">'Study multipliers'!N19*10/D13</f>
        <v>0.519044299674809</v>
      </c>
      <c r="G13" s="12" t="n">
        <f aca="false">'Study multipliers'!O19*10/D13</f>
        <v>0.728041994091661</v>
      </c>
      <c r="H13" s="13" t="n">
        <v>1</v>
      </c>
      <c r="I13" s="12" t="n">
        <f aca="false">IF(H13=1,1/(G13^2+$R$15),0)</f>
        <v>1.88663175038859</v>
      </c>
      <c r="J13" s="13"/>
      <c r="K13" s="13"/>
      <c r="L13" s="13"/>
      <c r="M13" s="13"/>
    </row>
    <row r="14" customFormat="false" ht="15" hidden="false" customHeight="false" outlineLevel="0" collapsed="false">
      <c r="A14" s="10" t="s">
        <v>104</v>
      </c>
      <c r="B14" s="10" t="s">
        <v>93</v>
      </c>
      <c r="C14" s="10" t="n">
        <v>2008</v>
      </c>
      <c r="D14" s="12" t="n">
        <f aca="false">'Study multipliers'!I20-'Study multipliers'!H20</f>
        <v>8.27</v>
      </c>
      <c r="E14" s="12" t="n">
        <f aca="false">'Study multipliers'!K20</f>
        <v>1.2</v>
      </c>
      <c r="F14" s="12" t="n">
        <f aca="false">'Study multipliers'!N20*10/D14</f>
        <v>0.220461374599703</v>
      </c>
      <c r="G14" s="12" t="n">
        <f aca="false">'Study multipliers'!O20*10/D14</f>
        <v>0.463966458306106</v>
      </c>
      <c r="H14" s="13" t="n">
        <v>1</v>
      </c>
      <c r="I14" s="12" t="n">
        <f aca="false">IF(H14=1,1/(G14^2+$R$15),0)</f>
        <v>4.64543972923332</v>
      </c>
      <c r="J14" s="13"/>
      <c r="K14" s="13"/>
      <c r="L14" s="13"/>
      <c r="M14" s="13"/>
    </row>
    <row r="15" customFormat="false" ht="15" hidden="false" customHeight="false" outlineLevel="0" collapsed="false">
      <c r="A15" s="23"/>
      <c r="B15" s="23" t="s">
        <v>300</v>
      </c>
      <c r="C15" s="23"/>
      <c r="D15" s="23"/>
      <c r="E15" s="23"/>
      <c r="F15" s="23"/>
      <c r="G15" s="23"/>
      <c r="H15" s="23"/>
      <c r="I15" s="23"/>
      <c r="J15" s="24" t="n">
        <f aca="false">EXP(S15)</f>
        <v>1.35893305243162</v>
      </c>
      <c r="K15" s="24" t="n">
        <f aca="false">EXP(S15-1.959964*T15)</f>
        <v>0.631175272668865</v>
      </c>
      <c r="L15" s="24" t="n">
        <f aca="false">EXP(S15+1.959964*T15)</f>
        <v>2.925810184519</v>
      </c>
      <c r="M15" s="25" t="n">
        <f aca="false">IF(AND(N15&gt;1,P15&gt;0),MAX(0,(P15-(N15-1))/P15),0)</f>
        <v>0</v>
      </c>
      <c r="N15" s="23" t="n">
        <f aca="false">SUM($H$13:$H$14)</f>
        <v>2</v>
      </c>
      <c r="O15" s="23" t="n">
        <f aca="false">SUMPRODUCT($H$13:$H$14,1/$G$13:$G$14^2,$F$13:$F$14)/SUMPRODUCT($H$13:$H$14,1/$G$13:$G$14^2)</f>
        <v>0.306699871580021</v>
      </c>
      <c r="P15" s="23" t="n">
        <f aca="false">IF(N15&gt;1,SUMPRODUCT($H$13:$H$14,1/$G$13:$G$14^2,($F$13:$F$14-O15)^2),0)</f>
        <v>0.119617019498761</v>
      </c>
      <c r="Q15" s="23" t="n">
        <f aca="false">IF(N15&gt;1,SUMPRODUCT($H$13:$H$14,1/$G$13:$G$14^2)-SUMPRODUCT($H$13:$H$14,1/$G$13:$G$14^2,1/$G$13:$G$14^2)/SUMPRODUCT($H$13:$H$14,1/$G$13:$G$14^2),0)</f>
        <v>2.6834470856695</v>
      </c>
      <c r="R15" s="23" t="n">
        <f aca="false">IF(Q15&gt;0,MAX(0,(P15-(N15-1))/Q15),0)</f>
        <v>0</v>
      </c>
      <c r="S15" s="23" t="n">
        <f aca="false">SUMPRODUCT($I$13:$I$14,$F$13:$F$14)/SUM($I$13:$I$14)</f>
        <v>0.306699871580021</v>
      </c>
      <c r="T15" s="23" t="n">
        <f aca="false">SQRT(1/SUM($I$13:$I$14))</f>
        <v>0.391268184982253</v>
      </c>
    </row>
    <row r="17" customFormat="false" ht="15" hidden="false" customHeight="false" outlineLevel="0" collapsed="false">
      <c r="A17" s="8" t="s">
        <v>113</v>
      </c>
      <c r="B17" s="9"/>
      <c r="C17" s="9"/>
      <c r="D17" s="9"/>
      <c r="E17" s="9"/>
      <c r="F17" s="9"/>
      <c r="G17" s="9"/>
      <c r="H17" s="9"/>
      <c r="I17" s="9"/>
      <c r="J17" s="9"/>
      <c r="K17" s="9"/>
      <c r="L17" s="9"/>
      <c r="M17" s="9"/>
    </row>
    <row r="18" customFormat="false" ht="15" hidden="false" customHeight="false" outlineLevel="0" collapsed="false">
      <c r="A18" s="10" t="s">
        <v>113</v>
      </c>
      <c r="B18" s="10" t="s">
        <v>61</v>
      </c>
      <c r="C18" s="10" t="n">
        <v>2010</v>
      </c>
      <c r="D18" s="12" t="n">
        <f aca="false">'Study multipliers'!I27-'Study multipliers'!H27</f>
        <v>1</v>
      </c>
      <c r="E18" s="12" t="n">
        <f aca="false">'Study multipliers'!K27</f>
        <v>1.16</v>
      </c>
      <c r="F18" s="12" t="n">
        <f aca="false">'Study multipliers'!N27*10/D18</f>
        <v>1.48420005118273</v>
      </c>
      <c r="G18" s="12" t="n">
        <f aca="false">'Study multipliers'!O27*10/D18</f>
        <v>0.56925420904213</v>
      </c>
      <c r="H18" s="13" t="n">
        <v>1</v>
      </c>
      <c r="I18" s="12" t="n">
        <f aca="false">IF(H18=1,1/(G18^2+$R$26),0)</f>
        <v>2.91066981679116</v>
      </c>
      <c r="J18" s="13"/>
      <c r="K18" s="13"/>
      <c r="L18" s="13"/>
      <c r="M18" s="13"/>
    </row>
    <row r="19" customFormat="false" ht="15" hidden="false" customHeight="false" outlineLevel="0" collapsed="false">
      <c r="A19" s="10" t="s">
        <v>113</v>
      </c>
      <c r="B19" s="10" t="s">
        <v>121</v>
      </c>
      <c r="C19" s="10" t="n">
        <v>2003</v>
      </c>
      <c r="D19" s="12" t="n">
        <f aca="false">'Study multipliers'!I29-'Study multipliers'!H29</f>
        <v>17.69</v>
      </c>
      <c r="E19" s="12" t="n">
        <f aca="false">'Study multipliers'!K29</f>
        <v>1.2</v>
      </c>
      <c r="F19" s="12" t="n">
        <f aca="false">'Study multipliers'!N29*10/D19</f>
        <v>0.103064757938923</v>
      </c>
      <c r="G19" s="12" t="n">
        <f aca="false">'Study multipliers'!O29*10/D19</f>
        <v>0.108701106271686</v>
      </c>
      <c r="H19" s="13" t="n">
        <v>1</v>
      </c>
      <c r="I19" s="12" t="n">
        <f aca="false">IF(H19=1,1/(G19^2+$R$26),0)</f>
        <v>31.9191989224478</v>
      </c>
      <c r="J19" s="13"/>
      <c r="K19" s="13"/>
      <c r="L19" s="13"/>
      <c r="M19" s="13"/>
    </row>
    <row r="20" customFormat="false" ht="15" hidden="false" customHeight="false" outlineLevel="0" collapsed="false">
      <c r="A20" s="10" t="s">
        <v>113</v>
      </c>
      <c r="B20" s="10" t="s">
        <v>125</v>
      </c>
      <c r="C20" s="10" t="n">
        <v>2016</v>
      </c>
      <c r="D20" s="12" t="n">
        <f aca="false">'Study multipliers'!I30-'Study multipliers'!H30</f>
        <v>5</v>
      </c>
      <c r="E20" s="12" t="n">
        <f aca="false">'Study multipliers'!K30</f>
        <v>1.52</v>
      </c>
      <c r="F20" s="12" t="n">
        <f aca="false">'Study multipliers'!N30*10/D20</f>
        <v>0.83742066971637</v>
      </c>
      <c r="G20" s="12" t="n">
        <f aca="false">'Study multipliers'!O30*10/D20</f>
        <v>0.206873752838401</v>
      </c>
      <c r="H20" s="13" t="n">
        <v>1</v>
      </c>
      <c r="I20" s="12" t="n">
        <f aca="false">IF(H20=1,1/(G20^2+$R$26),0)</f>
        <v>16.0488073352542</v>
      </c>
      <c r="J20" s="13"/>
      <c r="K20" s="13"/>
      <c r="L20" s="13"/>
      <c r="M20" s="13"/>
    </row>
    <row r="21" customFormat="false" ht="15" hidden="false" customHeight="false" outlineLevel="0" collapsed="false">
      <c r="A21" s="10" t="s">
        <v>113</v>
      </c>
      <c r="B21" s="10" t="s">
        <v>134</v>
      </c>
      <c r="C21" s="10" t="n">
        <v>2019</v>
      </c>
      <c r="D21" s="12" t="n">
        <f aca="false">'Study multipliers'!I33-'Study multipliers'!H33</f>
        <v>13.93</v>
      </c>
      <c r="E21" s="12" t="n">
        <f aca="false">'Study multipliers'!K33</f>
        <v>0.97</v>
      </c>
      <c r="F21" s="12" t="n">
        <f aca="false">'Study multipliers'!N33*10/D21</f>
        <v>-0.0218659063063235</v>
      </c>
      <c r="G21" s="12" t="n">
        <f aca="false">'Study multipliers'!O33*10/D21</f>
        <v>0.0950091789955214</v>
      </c>
      <c r="H21" s="13" t="n">
        <v>1</v>
      </c>
      <c r="I21" s="12" t="n">
        <f aca="false">IF(H21=1,1/(G21^2+$R$26),0)</f>
        <v>35.0386398283913</v>
      </c>
      <c r="J21" s="13"/>
      <c r="K21" s="13"/>
      <c r="L21" s="13"/>
      <c r="M21" s="13"/>
    </row>
    <row r="22" customFormat="false" ht="15" hidden="false" customHeight="false" outlineLevel="0" collapsed="false">
      <c r="A22" s="10" t="s">
        <v>113</v>
      </c>
      <c r="B22" s="10" t="s">
        <v>138</v>
      </c>
      <c r="C22" s="10" t="n">
        <v>2007</v>
      </c>
      <c r="D22" s="12" t="n">
        <f aca="false">'Study multipliers'!I34-'Study multipliers'!H34</f>
        <v>6.87</v>
      </c>
      <c r="E22" s="12" t="n">
        <f aca="false">'Study multipliers'!K34</f>
        <v>1.36</v>
      </c>
      <c r="F22" s="12" t="n">
        <f aca="false">'Study multipliers'!N34*10/D22</f>
        <v>0.447575982165882</v>
      </c>
      <c r="G22" s="12" t="n">
        <f aca="false">'Study multipliers'!O34*10/D22</f>
        <v>0.168462237004327</v>
      </c>
      <c r="H22" s="13" t="n">
        <v>1</v>
      </c>
      <c r="I22" s="12" t="n">
        <f aca="false">IF(H22=1,1/(G22^2+$R$26),0)</f>
        <v>20.8800080500249</v>
      </c>
      <c r="J22" s="13"/>
      <c r="K22" s="13"/>
      <c r="L22" s="13"/>
      <c r="M22" s="13"/>
    </row>
    <row r="23" customFormat="false" ht="15" hidden="false" customHeight="false" outlineLevel="0" collapsed="false">
      <c r="A23" s="10" t="s">
        <v>113</v>
      </c>
      <c r="B23" s="10" t="s">
        <v>140</v>
      </c>
      <c r="C23" s="10" t="n">
        <v>2008</v>
      </c>
      <c r="D23" s="12" t="n">
        <f aca="false">'Study multipliers'!I35-'Study multipliers'!H35</f>
        <v>42.02</v>
      </c>
      <c r="E23" s="12" t="n">
        <f aca="false">'Study multipliers'!K35</f>
        <v>1.57</v>
      </c>
      <c r="F23" s="12" t="n">
        <f aca="false">'Study multipliers'!N35*10/D23</f>
        <v>0.10734783897197</v>
      </c>
      <c r="G23" s="12" t="n">
        <f aca="false">'Study multipliers'!O35*10/D23</f>
        <v>0.0579616876419918</v>
      </c>
      <c r="H23" s="13" t="n">
        <v>1</v>
      </c>
      <c r="I23" s="12" t="n">
        <f aca="false">IF(H23=1,1/(G23^2+$R$26),0)</f>
        <v>43.7201783408836</v>
      </c>
      <c r="J23" s="13"/>
      <c r="K23" s="13"/>
      <c r="L23" s="13"/>
      <c r="M23" s="13"/>
    </row>
    <row r="24" customFormat="false" ht="15" hidden="false" customHeight="false" outlineLevel="0" collapsed="false">
      <c r="A24" s="10" t="s">
        <v>113</v>
      </c>
      <c r="B24" s="10" t="s">
        <v>150</v>
      </c>
      <c r="C24" s="10" t="n">
        <v>2018</v>
      </c>
      <c r="D24" s="12" t="n">
        <f aca="false">'Study multipliers'!I38-'Study multipliers'!H38</f>
        <v>16.06</v>
      </c>
      <c r="E24" s="12" t="n">
        <f aca="false">'Study multipliers'!K38</f>
        <v>1.14</v>
      </c>
      <c r="F24" s="12" t="n">
        <f aca="false">'Study multipliers'!N38*10/D24</f>
        <v>0.0815867138271507</v>
      </c>
      <c r="G24" s="12" t="n">
        <f aca="false">'Study multipliers'!O38*10/D24</f>
        <v>0.0236275944427706</v>
      </c>
      <c r="H24" s="13" t="n">
        <v>1</v>
      </c>
      <c r="I24" s="12" t="n">
        <f aca="false">IF(H24=1,1/(G24^2+$R$26),0)</f>
        <v>49.8220362725251</v>
      </c>
      <c r="J24" s="13"/>
      <c r="K24" s="13"/>
      <c r="L24" s="13"/>
      <c r="M24" s="13"/>
    </row>
    <row r="25" customFormat="false" ht="15" hidden="false" customHeight="false" outlineLevel="0" collapsed="false">
      <c r="A25" s="10" t="s">
        <v>113</v>
      </c>
      <c r="B25" s="10" t="s">
        <v>97</v>
      </c>
      <c r="C25" s="10" t="n">
        <v>2007</v>
      </c>
      <c r="D25" s="12" t="n">
        <f aca="false">'Study multipliers'!I40-'Study multipliers'!H40</f>
        <v>1.15</v>
      </c>
      <c r="E25" s="12" t="n">
        <f aca="false">'Study multipliers'!K40</f>
        <v>0.98</v>
      </c>
      <c r="F25" s="12" t="n">
        <f aca="false">'Study multipliers'!N40*10/D25</f>
        <v>-0.175675715804517</v>
      </c>
      <c r="G25" s="12" t="n">
        <f aca="false">'Study multipliers'!O40*10/D25</f>
        <v>0.742581481553758</v>
      </c>
      <c r="H25" s="13" t="n">
        <v>1</v>
      </c>
      <c r="I25" s="12" t="n">
        <f aca="false">IF(H25=1,1/(G25^2+$R$26),0)</f>
        <v>1.75149620116028</v>
      </c>
      <c r="J25" s="13"/>
      <c r="K25" s="13"/>
      <c r="L25" s="13"/>
      <c r="M25" s="13"/>
    </row>
    <row r="26" customFormat="false" ht="15" hidden="false" customHeight="false" outlineLevel="0" collapsed="false">
      <c r="A26" s="23"/>
      <c r="B26" s="23" t="s">
        <v>300</v>
      </c>
      <c r="C26" s="23"/>
      <c r="D26" s="23"/>
      <c r="E26" s="23"/>
      <c r="F26" s="23"/>
      <c r="G26" s="23"/>
      <c r="H26" s="23"/>
      <c r="I26" s="23"/>
      <c r="J26" s="24" t="n">
        <f aca="false">EXP(S26)</f>
        <v>1.20734644847765</v>
      </c>
      <c r="K26" s="24" t="n">
        <f aca="false">EXP(S26-1.959964*T26)</f>
        <v>1.05185304280387</v>
      </c>
      <c r="L26" s="24" t="n">
        <f aca="false">EXP(S26+1.959964*T26)</f>
        <v>1.38582614427385</v>
      </c>
      <c r="M26" s="25" t="n">
        <f aca="false">IF(AND(N26&gt;1,P26&gt;0),MAX(0,(P26-(N26-1))/P26),0)</f>
        <v>0.72259239377861</v>
      </c>
      <c r="N26" s="23" t="n">
        <f aca="false">SUM($H$18:$H$25)</f>
        <v>8</v>
      </c>
      <c r="O26" s="23" t="n">
        <f aca="false">SUMPRODUCT($H$18:$H$25,1/$G$18:$G$25^2,$F$18:$F$25)/SUMPRODUCT($H$18:$H$25,1/$G$18:$G$25^2)</f>
        <v>0.0954054144448513</v>
      </c>
      <c r="P26" s="23" t="n">
        <f aca="false">IF(N26&gt;1,SUMPRODUCT($H$18:$H$25,1/$G$18:$G$25^2,($F$18:$F$25-O26)^2),0)</f>
        <v>25.2336267752281</v>
      </c>
      <c r="Q26" s="23" t="n">
        <f aca="false">IF(N26&gt;1,SUMPRODUCT($H$18:$H$25,1/$G$18:$G$25^2)-SUMPRODUCT($H$18:$H$25,1/$G$18:$G$25^2,1/$G$18:$G$25^2)/SUMPRODUCT($H$18:$H$25,1/$G$18:$G$25^2),0)</f>
        <v>934.426372489493</v>
      </c>
      <c r="R26" s="23" t="n">
        <f aca="false">IF(Q26&gt;0,MAX(0,(P26-(N26-1))/Q26),0)</f>
        <v>0.0195131765455743</v>
      </c>
      <c r="S26" s="23" t="n">
        <f aca="false">SUMPRODUCT($I$18:$I$25,$F$18:$F$25)/SUM($I$18:$I$25)</f>
        <v>0.18842493363664</v>
      </c>
      <c r="T26" s="23" t="n">
        <f aca="false">SQRT(1/SUM($I$18:$I$25))</f>
        <v>0.0703439054142508</v>
      </c>
    </row>
    <row r="28" customFormat="false" ht="15" hidden="false" customHeight="false" outlineLevel="0" collapsed="false">
      <c r="A28" s="8" t="s">
        <v>159</v>
      </c>
      <c r="B28" s="9"/>
      <c r="C28" s="9"/>
      <c r="D28" s="9"/>
      <c r="E28" s="9"/>
      <c r="F28" s="9"/>
      <c r="G28" s="9"/>
      <c r="H28" s="9"/>
      <c r="I28" s="9"/>
      <c r="J28" s="9"/>
      <c r="K28" s="9"/>
      <c r="L28" s="9"/>
      <c r="M28" s="9"/>
    </row>
    <row r="29" customFormat="false" ht="15" hidden="false" customHeight="false" outlineLevel="0" collapsed="false">
      <c r="A29" s="10" t="s">
        <v>159</v>
      </c>
      <c r="B29" s="10" t="s">
        <v>160</v>
      </c>
      <c r="C29" s="10" t="n">
        <v>2004</v>
      </c>
      <c r="D29" s="12" t="n">
        <f aca="false">'Study multipliers'!I45-'Study multipliers'!H45</f>
        <v>9.73</v>
      </c>
      <c r="E29" s="12" t="n">
        <f aca="false">'Study multipliers'!K45</f>
        <v>0.99</v>
      </c>
      <c r="F29" s="12" t="n">
        <f aca="false">'Study multipliers'!N45*10/D29</f>
        <v>-0.0103292249265174</v>
      </c>
      <c r="G29" s="12" t="n">
        <f aca="false">'Study multipliers'!O45*10/D29</f>
        <v>0.22331728492048</v>
      </c>
      <c r="H29" s="13" t="n">
        <v>1</v>
      </c>
      <c r="I29" s="12" t="n">
        <f aca="false">IF(H29=1,1/(G29^2+$R$32),0)</f>
        <v>20.0518903845006</v>
      </c>
      <c r="J29" s="13"/>
      <c r="K29" s="13"/>
      <c r="L29" s="13"/>
      <c r="M29" s="13"/>
    </row>
    <row r="30" customFormat="false" ht="15" hidden="false" customHeight="false" outlineLevel="0" collapsed="false">
      <c r="A30" s="10" t="s">
        <v>159</v>
      </c>
      <c r="B30" s="10" t="s">
        <v>163</v>
      </c>
      <c r="C30" s="10" t="n">
        <v>2018</v>
      </c>
      <c r="D30" s="12" t="n">
        <f aca="false">'Study multipliers'!I46-'Study multipliers'!H46</f>
        <v>23.08</v>
      </c>
      <c r="E30" s="12" t="n">
        <f aca="false">'Study multipliers'!K46</f>
        <v>1.18</v>
      </c>
      <c r="F30" s="12" t="n">
        <f aca="false">'Study multipliers'!N46*10/D30</f>
        <v>0.0717133615587406</v>
      </c>
      <c r="G30" s="12" t="n">
        <f aca="false">'Study multipliers'!O46*10/D30</f>
        <v>0.180830097336801</v>
      </c>
      <c r="H30" s="13" t="n">
        <v>1</v>
      </c>
      <c r="I30" s="12" t="n">
        <f aca="false">IF(H30=1,1/(G30^2+$R$32),0)</f>
        <v>30.5814848208524</v>
      </c>
      <c r="J30" s="13"/>
      <c r="K30" s="13"/>
      <c r="L30" s="13"/>
      <c r="M30" s="13"/>
    </row>
    <row r="31" customFormat="false" ht="15" hidden="false" customHeight="false" outlineLevel="0" collapsed="false">
      <c r="A31" s="10" t="s">
        <v>159</v>
      </c>
      <c r="B31" s="10" t="s">
        <v>97</v>
      </c>
      <c r="C31" s="10" t="n">
        <v>2009</v>
      </c>
      <c r="D31" s="12" t="n">
        <f aca="false">'Study multipliers'!I47-'Study multipliers'!H47</f>
        <v>6.58</v>
      </c>
      <c r="E31" s="12" t="n">
        <f aca="false">'Study multipliers'!K47</f>
        <v>1.1</v>
      </c>
      <c r="F31" s="12" t="n">
        <f aca="false">'Study multipliers'!N47*10/D31</f>
        <v>0.144848297574962</v>
      </c>
      <c r="G31" s="12" t="n">
        <f aca="false">'Study multipliers'!O47*10/D31</f>
        <v>0.108493593365499</v>
      </c>
      <c r="H31" s="13" t="n">
        <v>1</v>
      </c>
      <c r="I31" s="12" t="n">
        <f aca="false">IF(H31=1,1/(G31^2+$R$32),0)</f>
        <v>84.9555611803824</v>
      </c>
      <c r="J31" s="13"/>
      <c r="K31" s="13"/>
      <c r="L31" s="13"/>
      <c r="M31" s="13"/>
    </row>
    <row r="32" customFormat="false" ht="15" hidden="false" customHeight="false" outlineLevel="0" collapsed="false">
      <c r="A32" s="23"/>
      <c r="B32" s="23" t="s">
        <v>300</v>
      </c>
      <c r="C32" s="23"/>
      <c r="D32" s="23"/>
      <c r="E32" s="23"/>
      <c r="F32" s="23"/>
      <c r="G32" s="23"/>
      <c r="H32" s="23"/>
      <c r="I32" s="23"/>
      <c r="J32" s="24" t="n">
        <f aca="false">EXP(S32)</f>
        <v>1.11115969646659</v>
      </c>
      <c r="K32" s="24" t="n">
        <f aca="false">EXP(S32-1.959964*T32)</f>
        <v>0.93902248588704</v>
      </c>
      <c r="L32" s="24" t="n">
        <f aca="false">EXP(S32+1.959964*T32)</f>
        <v>1.31485229545424</v>
      </c>
      <c r="M32" s="25" t="n">
        <f aca="false">IF(AND(N32&gt;1,P32&gt;0),MAX(0,(P32-(N32-1))/P32),0)</f>
        <v>0</v>
      </c>
      <c r="N32" s="23" t="n">
        <f aca="false">SUM($H$29:$H$31)</f>
        <v>3</v>
      </c>
      <c r="O32" s="23" t="n">
        <f aca="false">SUMPRODUCT($H$29:$H$31,1/$G$29:$G$31^2,$F$29:$F$31)/SUMPRODUCT($H$29:$H$31,1/$G$29:$G$31^2)</f>
        <v>0.105404241521766</v>
      </c>
      <c r="P32" s="23" t="n">
        <f aca="false">IF(N32&gt;1,SUMPRODUCT($H$29:$H$31,1/$G$29:$G$31^2,($F$29:$F$31-O32)^2),0)</f>
        <v>0.435468741049124</v>
      </c>
      <c r="Q32" s="23" t="n">
        <f aca="false">IF(N32&gt;1,SUMPRODUCT($H$29:$H$31,1/$G$29:$G$31^2)-SUMPRODUCT($H$29:$H$31,1/$G$29:$G$31^2,1/$G$29:$G$31^2)/SUMPRODUCT($H$29:$H$31,1/$G$29:$G$31^2),0)</f>
        <v>72.4956403886605</v>
      </c>
      <c r="R32" s="23" t="n">
        <f aca="false">IF(Q32&gt;0,MAX(0,(P32-(N32-1))/Q32),0)</f>
        <v>0</v>
      </c>
      <c r="S32" s="23" t="n">
        <f aca="false">SUMPRODUCT($I$29:$I$31,$F$29:$F$31)/SUM($I$29:$I$31)</f>
        <v>0.105404241521766</v>
      </c>
      <c r="T32" s="23" t="n">
        <f aca="false">SQRT(1/SUM($I$29:$I$31))</f>
        <v>0.0858791768373248</v>
      </c>
    </row>
    <row r="34" customFormat="false" ht="15" hidden="false" customHeight="false" outlineLevel="0" collapsed="false">
      <c r="A34" s="8" t="s">
        <v>169</v>
      </c>
      <c r="B34" s="9"/>
      <c r="C34" s="9"/>
      <c r="D34" s="9"/>
      <c r="E34" s="9"/>
      <c r="F34" s="9"/>
      <c r="G34" s="9"/>
      <c r="H34" s="9"/>
      <c r="I34" s="9"/>
      <c r="J34" s="9"/>
      <c r="K34" s="9"/>
      <c r="L34" s="9"/>
      <c r="M34" s="9"/>
    </row>
    <row r="35" customFormat="false" ht="15" hidden="false" customHeight="false" outlineLevel="0" collapsed="false">
      <c r="A35" s="10" t="s">
        <v>169</v>
      </c>
      <c r="B35" s="10" t="s">
        <v>170</v>
      </c>
      <c r="C35" s="10" t="n">
        <v>2020</v>
      </c>
      <c r="D35" s="12" t="n">
        <f aca="false">'Study multipliers'!I53-'Study multipliers'!H53</f>
        <v>8.22</v>
      </c>
      <c r="E35" s="12" t="n">
        <f aca="false">'Study multipliers'!K53</f>
        <v>1.5</v>
      </c>
      <c r="F35" s="12" t="n">
        <f aca="false">'Study multipliers'!N53*10/D35</f>
        <v>0.493266554876112</v>
      </c>
      <c r="G35" s="12" t="n">
        <f aca="false">'Study multipliers'!O53*10/D35</f>
        <v>0.267945338800569</v>
      </c>
      <c r="H35" s="13" t="n">
        <v>1</v>
      </c>
      <c r="I35" s="12" t="n">
        <f aca="false">IF(H35=1,1/(G35^2+$R$41),0)</f>
        <v>3.27084485743482</v>
      </c>
      <c r="J35" s="13"/>
      <c r="K35" s="13"/>
      <c r="L35" s="13"/>
      <c r="M35" s="13"/>
    </row>
    <row r="36" customFormat="false" ht="15" hidden="false" customHeight="false" outlineLevel="0" collapsed="false">
      <c r="A36" s="10" t="s">
        <v>169</v>
      </c>
      <c r="B36" s="10" t="s">
        <v>61</v>
      </c>
      <c r="C36" s="10" t="n">
        <v>2007</v>
      </c>
      <c r="D36" s="12" t="n">
        <f aca="false">'Study multipliers'!I54-'Study multipliers'!H54</f>
        <v>6.58</v>
      </c>
      <c r="E36" s="12" t="n">
        <f aca="false">'Study multipliers'!K54</f>
        <v>1.96</v>
      </c>
      <c r="F36" s="12" t="n">
        <f aca="false">'Study multipliers'!N54*10/D36</f>
        <v>1.02271196541402</v>
      </c>
      <c r="G36" s="12" t="n">
        <f aca="false">'Study multipliers'!O54*10/D36</f>
        <v>0.254735377869352</v>
      </c>
      <c r="H36" s="13" t="n">
        <v>1</v>
      </c>
      <c r="I36" s="12" t="n">
        <f aca="false">IF(H36=1,1/(G36^2+$R$41),0)</f>
        <v>3.3464198982183</v>
      </c>
      <c r="J36" s="13"/>
      <c r="K36" s="13"/>
      <c r="L36" s="13"/>
      <c r="M36" s="13"/>
    </row>
    <row r="37" customFormat="false" ht="15" hidden="false" customHeight="false" outlineLevel="0" collapsed="false">
      <c r="A37" s="10" t="s">
        <v>169</v>
      </c>
      <c r="B37" s="10" t="s">
        <v>125</v>
      </c>
      <c r="C37" s="10" t="n">
        <v>2015</v>
      </c>
      <c r="D37" s="12" t="n">
        <f aca="false">'Study multipliers'!I55-'Study multipliers'!H55</f>
        <v>22.12</v>
      </c>
      <c r="E37" s="12" t="n">
        <f aca="false">'Study multipliers'!K55</f>
        <v>1.04</v>
      </c>
      <c r="F37" s="12" t="n">
        <f aca="false">'Study multipliers'!N55*10/D37</f>
        <v>0.0177308829806878</v>
      </c>
      <c r="G37" s="12" t="n">
        <f aca="false">'Study multipliers'!O55*10/D37</f>
        <v>0.127340290180613</v>
      </c>
      <c r="H37" s="13" t="n">
        <v>1</v>
      </c>
      <c r="I37" s="12" t="n">
        <f aca="false">IF(H37=1,1/(G37^2+$R$41),0)</f>
        <v>3.99756545363734</v>
      </c>
      <c r="J37" s="13"/>
      <c r="K37" s="13"/>
      <c r="L37" s="13"/>
      <c r="M37" s="13"/>
    </row>
    <row r="38" customFormat="false" ht="15" hidden="false" customHeight="false" outlineLevel="0" collapsed="false">
      <c r="A38" s="10" t="s">
        <v>169</v>
      </c>
      <c r="B38" s="10" t="s">
        <v>134</v>
      </c>
      <c r="C38" s="10" t="n">
        <v>2016</v>
      </c>
      <c r="D38" s="12" t="n">
        <f aca="false">'Study multipliers'!I56-'Study multipliers'!H56</f>
        <v>11.06</v>
      </c>
      <c r="E38" s="12" t="n">
        <f aca="false">'Study multipliers'!K56</f>
        <v>1.48</v>
      </c>
      <c r="F38" s="12" t="n">
        <f aca="false">'Study multipliers'!N56*10/D38</f>
        <v>0.354468433793873</v>
      </c>
      <c r="G38" s="12" t="n">
        <f aca="false">'Study multipliers'!O56*10/D38</f>
        <v>0.221165617539166</v>
      </c>
      <c r="H38" s="13" t="n">
        <v>1</v>
      </c>
      <c r="I38" s="12" t="n">
        <f aca="false">IF(H38=1,1/(G38^2+$R$41),0)</f>
        <v>3.53543115620306</v>
      </c>
      <c r="J38" s="13"/>
      <c r="K38" s="13"/>
      <c r="L38" s="13"/>
      <c r="M38" s="13"/>
    </row>
    <row r="39" customFormat="false" ht="15" hidden="false" customHeight="false" outlineLevel="0" collapsed="false">
      <c r="A39" s="10" t="s">
        <v>169</v>
      </c>
      <c r="B39" s="10" t="s">
        <v>93</v>
      </c>
      <c r="C39" s="10" t="n">
        <v>2003</v>
      </c>
      <c r="D39" s="12" t="n">
        <f aca="false">'Study multipliers'!I57-'Study multipliers'!H57</f>
        <v>11.02</v>
      </c>
      <c r="E39" s="12" t="n">
        <f aca="false">'Study multipliers'!K57</f>
        <v>0.5</v>
      </c>
      <c r="F39" s="12" t="n">
        <f aca="false">'Study multipliers'!N57*10/D39</f>
        <v>-0.628990181996321</v>
      </c>
      <c r="G39" s="12" t="n">
        <f aca="false">'Study multipliers'!O57*10/D39</f>
        <v>0.16045962629832</v>
      </c>
      <c r="H39" s="13" t="n">
        <v>1</v>
      </c>
      <c r="I39" s="12" t="n">
        <f aca="false">IF(H39=1,1/(G39^2+$R$41),0)</f>
        <v>3.85083417990146</v>
      </c>
      <c r="J39" s="13"/>
      <c r="K39" s="13"/>
      <c r="L39" s="13"/>
      <c r="M39" s="13"/>
    </row>
    <row r="40" customFormat="false" ht="15" hidden="false" customHeight="false" outlineLevel="0" collapsed="false">
      <c r="A40" s="10" t="s">
        <v>169</v>
      </c>
      <c r="B40" s="10" t="s">
        <v>183</v>
      </c>
      <c r="C40" s="10" t="n">
        <v>2006</v>
      </c>
      <c r="D40" s="12" t="n">
        <f aca="false">'Study multipliers'!I59-'Study multipliers'!H59</f>
        <v>6.8</v>
      </c>
      <c r="E40" s="12" t="n">
        <f aca="false">'Study multipliers'!K59</f>
        <v>1.06</v>
      </c>
      <c r="F40" s="12" t="n">
        <f aca="false">'Study multipliers'!N59*10/D40</f>
        <v>0.0856895707705527</v>
      </c>
      <c r="G40" s="12" t="n">
        <f aca="false">'Study multipliers'!O59*10/D40</f>
        <v>0.195282112434415</v>
      </c>
      <c r="H40" s="13" t="n">
        <v>1</v>
      </c>
      <c r="I40" s="12" t="n">
        <f aca="false">IF(H40=1,1/(G40^2+$R$41),0)</f>
        <v>3.67550028660067</v>
      </c>
      <c r="J40" s="13"/>
      <c r="K40" s="13"/>
      <c r="L40" s="13"/>
      <c r="M40" s="13"/>
    </row>
    <row r="41" customFormat="false" ht="15" hidden="false" customHeight="false" outlineLevel="0" collapsed="false">
      <c r="A41" s="23"/>
      <c r="B41" s="23" t="s">
        <v>300</v>
      </c>
      <c r="C41" s="23"/>
      <c r="D41" s="23"/>
      <c r="E41" s="23"/>
      <c r="F41" s="23"/>
      <c r="G41" s="23"/>
      <c r="H41" s="23"/>
      <c r="I41" s="23"/>
      <c r="J41" s="24" t="n">
        <f aca="false">EXP(S41)</f>
        <v>1.21675722371213</v>
      </c>
      <c r="K41" s="24" t="n">
        <f aca="false">EXP(S41-1.959964*T41)</f>
        <v>0.798690268553984</v>
      </c>
      <c r="L41" s="24" t="n">
        <f aca="false">EXP(S41+1.959964*T41)</f>
        <v>1.85365741858365</v>
      </c>
      <c r="M41" s="25" t="n">
        <f aca="false">IF(AND(N41&gt;1,P41&gt;0),MAX(0,(P41-(N41-1))/P41),0)</f>
        <v>0.865651022328421</v>
      </c>
      <c r="N41" s="23" t="n">
        <f aca="false">SUM($H$35:$H$40)</f>
        <v>6</v>
      </c>
      <c r="O41" s="23" t="n">
        <f aca="false">SUMPRODUCT($H$35:$H$40,1/$G$35:$G$40^2,$F$35:$F$40)/SUMPRODUCT($H$35:$H$40,1/$G$35:$G$40^2)</f>
        <v>0.0497920807015603</v>
      </c>
      <c r="P41" s="23" t="n">
        <f aca="false">IF(N41&gt;1,SUMPRODUCT($H$35:$H$40,1/$G$35:$G$40^2,($F$35:$F$40-O41)^2),0)</f>
        <v>37.216509471495</v>
      </c>
      <c r="Q41" s="23" t="n">
        <f aca="false">IF(N41&gt;1,SUMPRODUCT($H$35:$H$40,1/$G$35:$G$40^2)-SUMPRODUCT($H$35:$H$40,1/$G$35:$G$40^2,1/$G$35:$G$40^2)/SUMPRODUCT($H$35:$H$40,1/$G$35:$G$40^2),0)</f>
        <v>137.71464312063</v>
      </c>
      <c r="R41" s="23" t="n">
        <f aca="false">IF(Q41&gt;0,MAX(0,(P41-(N41-1))/Q41),0)</f>
        <v>0.233936702310408</v>
      </c>
      <c r="S41" s="23" t="n">
        <f aca="false">SUMPRODUCT($I$35:$I$40,$F$35:$F$40)/SUM($I$35:$I$40)</f>
        <v>0.196189306604811</v>
      </c>
      <c r="T41" s="23" t="n">
        <f aca="false">SQRT(1/SUM($I$35:$I$40))</f>
        <v>0.214785253119203</v>
      </c>
    </row>
    <row r="43" customFormat="false" ht="15" hidden="false" customHeight="false" outlineLevel="0" collapsed="false">
      <c r="A43" s="8" t="s">
        <v>186</v>
      </c>
      <c r="B43" s="9"/>
      <c r="C43" s="9"/>
      <c r="D43" s="9"/>
      <c r="E43" s="9"/>
      <c r="F43" s="9"/>
      <c r="G43" s="9"/>
      <c r="H43" s="9"/>
      <c r="I43" s="9"/>
      <c r="J43" s="9"/>
      <c r="K43" s="9"/>
      <c r="L43" s="9"/>
      <c r="M43" s="9"/>
    </row>
    <row r="44" customFormat="false" ht="15" hidden="false" customHeight="false" outlineLevel="0" collapsed="false">
      <c r="A44" s="10" t="s">
        <v>186</v>
      </c>
      <c r="B44" s="10" t="s">
        <v>134</v>
      </c>
      <c r="C44" s="10" t="n">
        <v>2017</v>
      </c>
      <c r="D44" s="12" t="n">
        <f aca="false">'Study multipliers'!I64-'Study multipliers'!H64</f>
        <v>9.56</v>
      </c>
      <c r="E44" s="12" t="n">
        <f aca="false">'Study multipliers'!K64</f>
        <v>2.3</v>
      </c>
      <c r="F44" s="12" t="n">
        <f aca="false">'Study multipliers'!N64*10/D44</f>
        <v>0.871243852442577</v>
      </c>
      <c r="G44" s="12" t="n">
        <f aca="false">'Study multipliers'!O64*10/D44</f>
        <v>0.340576410122167</v>
      </c>
      <c r="H44" s="13" t="n">
        <v>1</v>
      </c>
      <c r="I44" s="12" t="n">
        <f aca="false">IF(H44=1,1/(G44^2+$R$46),0)</f>
        <v>1.91252601630204</v>
      </c>
      <c r="J44" s="13"/>
      <c r="K44" s="13"/>
      <c r="L44" s="13"/>
      <c r="M44" s="13"/>
    </row>
    <row r="45" customFormat="false" ht="15" hidden="false" customHeight="false" outlineLevel="0" collapsed="false">
      <c r="A45" s="10" t="s">
        <v>186</v>
      </c>
      <c r="B45" s="10" t="s">
        <v>93</v>
      </c>
      <c r="C45" s="10" t="n">
        <v>2007</v>
      </c>
      <c r="D45" s="12" t="n">
        <f aca="false">'Study multipliers'!I66-'Study multipliers'!H66</f>
        <v>9.56</v>
      </c>
      <c r="E45" s="12" t="n">
        <f aca="false">'Study multipliers'!K66</f>
        <v>0.89</v>
      </c>
      <c r="F45" s="12" t="n">
        <f aca="false">'Study multipliers'!N66*10/D45</f>
        <v>-0.121897297338861</v>
      </c>
      <c r="G45" s="12" t="n">
        <f aca="false">'Study multipliers'!O66*10/D45</f>
        <v>0.237874391241738</v>
      </c>
      <c r="H45" s="13" t="n">
        <v>1</v>
      </c>
      <c r="I45" s="12" t="n">
        <f aca="false">IF(H45=1,1/(G45^2+$R$46),0)</f>
        <v>2.15768053544002</v>
      </c>
      <c r="J45" s="13"/>
      <c r="K45" s="13"/>
      <c r="L45" s="13"/>
      <c r="M45" s="13"/>
    </row>
    <row r="46" customFormat="false" ht="15" hidden="false" customHeight="false" outlineLevel="0" collapsed="false">
      <c r="A46" s="23"/>
      <c r="B46" s="23" t="s">
        <v>300</v>
      </c>
      <c r="C46" s="23"/>
      <c r="D46" s="23"/>
      <c r="E46" s="23"/>
      <c r="F46" s="23"/>
      <c r="G46" s="23"/>
      <c r="H46" s="23"/>
      <c r="I46" s="23"/>
      <c r="J46" s="24" t="n">
        <f aca="false">EXP(S46)</f>
        <v>1.411656873972</v>
      </c>
      <c r="K46" s="24" t="n">
        <f aca="false">EXP(S46-1.959964*T46)</f>
        <v>0.534336583665942</v>
      </c>
      <c r="L46" s="24" t="n">
        <f aca="false">EXP(S46+1.959964*T46)</f>
        <v>3.72943794370298</v>
      </c>
      <c r="M46" s="25" t="n">
        <f aca="false">IF(AND(N46&gt;1,P46&gt;0),MAX(0,(P46-(N46-1))/P46),0)</f>
        <v>0.825031549251767</v>
      </c>
      <c r="N46" s="23" t="n">
        <f aca="false">SUM($H$44:$H$45)</f>
        <v>2</v>
      </c>
      <c r="O46" s="23" t="n">
        <f aca="false">SUMPRODUCT($H$44:$H$45,1/$G$44:$G$45^2,$F$44:$F$45)/SUMPRODUCT($H$44:$H$45,1/$G$44:$G$45^2)</f>
        <v>0.203732888093642</v>
      </c>
      <c r="P46" s="23" t="n">
        <f aca="false">IF(N46&gt;1,SUMPRODUCT($H$44:$H$45,1/$G$44:$G$45^2,($F$44:$F$45-O46)^2),0)</f>
        <v>5.715316079691</v>
      </c>
      <c r="Q46" s="23" t="n">
        <f aca="false">IF(N46&gt;1,SUMPRODUCT($H$44:$H$45,1/$G$44:$G$45^2)-SUMPRODUCT($H$44:$H$45,1/$G$44:$G$45^2,1/$G$44:$G$45^2)/SUMPRODUCT($H$44:$H$45,1/$G$44:$G$45^2),0)</f>
        <v>11.5890622498408</v>
      </c>
      <c r="R46" s="23" t="n">
        <f aca="false">IF(Q46&gt;0,MAX(0,(P46-(N46-1))/Q46),0)</f>
        <v>0.406876413124434</v>
      </c>
      <c r="S46" s="23" t="n">
        <f aca="false">SUMPRODUCT($I$44:$I$45,$F$44:$F$45)/SUM($I$44:$I$45)</f>
        <v>0.344764102438054</v>
      </c>
      <c r="T46" s="23" t="n">
        <f aca="false">SQRT(1/SUM($I$44:$I$45))</f>
        <v>0.495669019700961</v>
      </c>
    </row>
    <row r="48" customFormat="false" ht="15" hidden="false" customHeight="false" outlineLevel="0" collapsed="false">
      <c r="A48" s="8" t="s">
        <v>195</v>
      </c>
      <c r="B48" s="9"/>
      <c r="C48" s="9"/>
      <c r="D48" s="9"/>
      <c r="E48" s="9"/>
      <c r="F48" s="9"/>
      <c r="G48" s="9"/>
      <c r="H48" s="9"/>
      <c r="I48" s="9"/>
      <c r="J48" s="9"/>
      <c r="K48" s="9"/>
      <c r="L48" s="9"/>
      <c r="M48" s="9"/>
    </row>
    <row r="49" customFormat="false" ht="15" hidden="false" customHeight="false" outlineLevel="0" collapsed="false">
      <c r="A49" s="10" t="s">
        <v>195</v>
      </c>
      <c r="B49" s="10" t="s">
        <v>202</v>
      </c>
      <c r="C49" s="10" t="n">
        <v>2001</v>
      </c>
      <c r="D49" s="12" t="n">
        <f aca="false">'Study multipliers'!I75-'Study multipliers'!H75</f>
        <v>75</v>
      </c>
      <c r="E49" s="12" t="n">
        <f aca="false">'Study multipliers'!K75</f>
        <v>1.4</v>
      </c>
      <c r="F49" s="12" t="n">
        <f aca="false">'Study multipliers'!N75*10/D49</f>
        <v>0.0448629648828284</v>
      </c>
      <c r="G49" s="12" t="n">
        <f aca="false">'Study multipliers'!O75*10/D49</f>
        <v>0.170432902308282</v>
      </c>
      <c r="H49" s="13" t="n">
        <v>1</v>
      </c>
      <c r="I49" s="12" t="n">
        <f aca="false">IF(H49=1,1/(G49^2+$R$53),0)</f>
        <v>34.4265197083102</v>
      </c>
      <c r="J49" s="13"/>
      <c r="K49" s="13"/>
      <c r="L49" s="13"/>
      <c r="M49" s="13"/>
    </row>
    <row r="50" customFormat="false" ht="15" hidden="false" customHeight="false" outlineLevel="0" collapsed="false">
      <c r="A50" s="10" t="s">
        <v>195</v>
      </c>
      <c r="B50" s="10" t="s">
        <v>202</v>
      </c>
      <c r="C50" s="10" t="n">
        <v>2004</v>
      </c>
      <c r="D50" s="12" t="n">
        <f aca="false">'Study multipliers'!I76-'Study multipliers'!H76</f>
        <v>50</v>
      </c>
      <c r="E50" s="12" t="n">
        <f aca="false">'Study multipliers'!K76</f>
        <v>0.8</v>
      </c>
      <c r="F50" s="12" t="n">
        <f aca="false">'Study multipliers'!N76*10/D50</f>
        <v>-0.0446287102628419</v>
      </c>
      <c r="G50" s="12" t="n">
        <f aca="false">'Study multipliers'!O76*10/D50</f>
        <v>0.0674377611008324</v>
      </c>
      <c r="H50" s="13" t="n">
        <v>1</v>
      </c>
      <c r="I50" s="12" t="n">
        <f aca="false">IF(H50=1,1/(G50^2+$R$53),0)</f>
        <v>219.88404263194</v>
      </c>
      <c r="J50" s="13"/>
      <c r="K50" s="13"/>
      <c r="L50" s="13"/>
      <c r="M50" s="13"/>
    </row>
    <row r="51" customFormat="false" ht="15" hidden="false" customHeight="false" outlineLevel="0" collapsed="false">
      <c r="A51" s="10" t="s">
        <v>195</v>
      </c>
      <c r="B51" s="10" t="s">
        <v>207</v>
      </c>
      <c r="C51" s="10" t="n">
        <v>1994</v>
      </c>
      <c r="D51" s="12" t="n">
        <f aca="false">'Study multipliers'!I77-'Study multipliers'!H77</f>
        <v>23.2</v>
      </c>
      <c r="E51" s="12" t="n">
        <f aca="false">'Study multipliers'!K77</f>
        <v>1</v>
      </c>
      <c r="F51" s="12" t="n">
        <f aca="false">'Study multipliers'!N77*10/D51</f>
        <v>0</v>
      </c>
      <c r="G51" s="12" t="n">
        <f aca="false">'Study multipliers'!O77*10/D51</f>
        <v>0.108749420429503</v>
      </c>
      <c r="H51" s="13" t="n">
        <v>1</v>
      </c>
      <c r="I51" s="12" t="n">
        <f aca="false">IF(H51=1,1/(G51^2+$R$53),0)</f>
        <v>84.5563247015319</v>
      </c>
      <c r="J51" s="13"/>
      <c r="K51" s="13"/>
      <c r="L51" s="13"/>
      <c r="M51" s="13"/>
    </row>
    <row r="52" customFormat="false" ht="15" hidden="false" customHeight="false" outlineLevel="0" collapsed="false">
      <c r="A52" s="10" t="s">
        <v>195</v>
      </c>
      <c r="B52" s="10" t="s">
        <v>93</v>
      </c>
      <c r="C52" s="10" t="n">
        <v>2005</v>
      </c>
      <c r="D52" s="12" t="n">
        <f aca="false">'Study multipliers'!I79-'Study multipliers'!H79</f>
        <v>8.58</v>
      </c>
      <c r="E52" s="12" t="n">
        <f aca="false">'Study multipliers'!K79</f>
        <v>1.3</v>
      </c>
      <c r="F52" s="12" t="n">
        <f aca="false">'Study multipliers'!N79*10/D52</f>
        <v>0.305785856022717</v>
      </c>
      <c r="G52" s="12" t="n">
        <f aca="false">'Study multipliers'!O79*10/D52</f>
        <v>0.390148687857235</v>
      </c>
      <c r="H52" s="13" t="n">
        <v>1</v>
      </c>
      <c r="I52" s="12" t="n">
        <f aca="false">IF(H52=1,1/(G52^2+$R$53),0)</f>
        <v>6.56961166340073</v>
      </c>
      <c r="J52" s="13"/>
      <c r="K52" s="13"/>
      <c r="L52" s="13"/>
      <c r="M52" s="13"/>
    </row>
    <row r="53" customFormat="false" ht="15" hidden="false" customHeight="false" outlineLevel="0" collapsed="false">
      <c r="A53" s="23"/>
      <c r="B53" s="23" t="s">
        <v>300</v>
      </c>
      <c r="C53" s="23"/>
      <c r="D53" s="23"/>
      <c r="E53" s="23"/>
      <c r="F53" s="23"/>
      <c r="G53" s="23"/>
      <c r="H53" s="23"/>
      <c r="I53" s="23"/>
      <c r="J53" s="24" t="n">
        <f aca="false">EXP(S53)</f>
        <v>0.982041867245714</v>
      </c>
      <c r="K53" s="24" t="n">
        <f aca="false">EXP(S53-1.959964*T53)</f>
        <v>0.883754860859385</v>
      </c>
      <c r="L53" s="24" t="n">
        <f aca="false">EXP(S53+1.959964*T53)</f>
        <v>1.09125988635088</v>
      </c>
      <c r="M53" s="25" t="n">
        <f aca="false">IF(AND(N53&gt;1,P53&gt;0),MAX(0,(P53-(N53-1))/P53),0)</f>
        <v>0</v>
      </c>
      <c r="N53" s="23" t="n">
        <f aca="false">SUM($H$49:$H$52)</f>
        <v>4</v>
      </c>
      <c r="O53" s="23" t="n">
        <f aca="false">SUMPRODUCT($H$49:$H$52,1/$G$49:$G$52^2,$F$49:$F$52)/SUMPRODUCT($H$49:$H$52,1/$G$49:$G$52^2)</f>
        <v>-0.0181213368667333</v>
      </c>
      <c r="P53" s="23" t="n">
        <f aca="false">IF(N53&gt;1,SUMPRODUCT($H$49:$H$52,1/$G$49:$G$52^2,($F$49:$F$52-O53)^2),0)</f>
        <v>1.00809364714396</v>
      </c>
      <c r="Q53" s="23" t="n">
        <f aca="false">IF(N53&gt;1,SUMPRODUCT($H$49:$H$52,1/$G$49:$G$52^2)-SUMPRODUCT($H$49:$H$52,1/$G$49:$G$52^2,1/$G$49:$G$52^2)/SUMPRODUCT($H$49:$H$52,1/$G$49:$G$52^2),0)</f>
        <v>181.2178665674</v>
      </c>
      <c r="R53" s="23" t="n">
        <f aca="false">IF(Q53&gt;0,MAX(0,(P53-(N53-1))/Q53),0)</f>
        <v>0</v>
      </c>
      <c r="S53" s="23" t="n">
        <f aca="false">SUMPRODUCT($I$49:$I$52,$F$49:$F$52)/SUM($I$49:$I$52)</f>
        <v>-0.0181213368667333</v>
      </c>
      <c r="T53" s="23" t="n">
        <f aca="false">SQRT(1/SUM($I$49:$I$52))</f>
        <v>0.0538041640838971</v>
      </c>
    </row>
    <row r="55" customFormat="false" ht="15" hidden="false" customHeight="false" outlineLevel="0" collapsed="false">
      <c r="A55" s="8" t="s">
        <v>217</v>
      </c>
      <c r="B55" s="9"/>
      <c r="C55" s="9"/>
      <c r="D55" s="9"/>
      <c r="E55" s="9"/>
      <c r="F55" s="9"/>
      <c r="G55" s="9"/>
      <c r="H55" s="9"/>
      <c r="I55" s="9"/>
      <c r="J55" s="9"/>
      <c r="K55" s="9"/>
      <c r="L55" s="9"/>
      <c r="M55" s="9"/>
    </row>
    <row r="56" customFormat="false" ht="15" hidden="false" customHeight="false" outlineLevel="0" collapsed="false">
      <c r="A56" s="10" t="s">
        <v>217</v>
      </c>
      <c r="B56" s="10" t="s">
        <v>114</v>
      </c>
      <c r="C56" s="10" t="n">
        <v>2010</v>
      </c>
      <c r="D56" s="12" t="n">
        <f aca="false">'Study multipliers'!I85-'Study multipliers'!H85</f>
        <v>6.58</v>
      </c>
      <c r="E56" s="12" t="n">
        <f aca="false">'Study multipliers'!K85</f>
        <v>1.05</v>
      </c>
      <c r="F56" s="12" t="n">
        <f aca="false">'Study multipliers'!N85*10/D56</f>
        <v>0.0741491856678299</v>
      </c>
      <c r="G56" s="12" t="n">
        <f aca="false">'Study multipliers'!O85*10/D56</f>
        <v>0.128578906173297</v>
      </c>
      <c r="H56" s="13" t="n">
        <v>1</v>
      </c>
      <c r="I56" s="12" t="n">
        <f aca="false">IF(H56=1,1/(G56^2+$R$61),0)</f>
        <v>6.32713019668568</v>
      </c>
      <c r="J56" s="13"/>
      <c r="K56" s="13"/>
      <c r="L56" s="13"/>
      <c r="M56" s="13"/>
    </row>
    <row r="57" customFormat="false" ht="15" hidden="false" customHeight="false" outlineLevel="0" collapsed="false">
      <c r="A57" s="10" t="s">
        <v>217</v>
      </c>
      <c r="B57" s="10" t="s">
        <v>222</v>
      </c>
      <c r="C57" s="10" t="n">
        <v>2000</v>
      </c>
      <c r="D57" s="12" t="n">
        <f aca="false">'Study multipliers'!I87-'Study multipliers'!H87</f>
        <v>4.39</v>
      </c>
      <c r="E57" s="12" t="n">
        <f aca="false">'Study multipliers'!K87</f>
        <v>0.3</v>
      </c>
      <c r="F57" s="12" t="n">
        <f aca="false">'Study multipliers'!N87*10/D57</f>
        <v>-2.74253486179029</v>
      </c>
      <c r="G57" s="12" t="n">
        <f aca="false">'Study multipliers'!O87*10/D57</f>
        <v>1.27682635353052</v>
      </c>
      <c r="H57" s="13" t="n">
        <v>1</v>
      </c>
      <c r="I57" s="12" t="n">
        <f aca="false">IF(H57=1,1/(G57^2+$R$61),0)</f>
        <v>0.564396978695616</v>
      </c>
      <c r="J57" s="13"/>
      <c r="K57" s="13"/>
      <c r="L57" s="13"/>
      <c r="M57" s="13"/>
    </row>
    <row r="58" customFormat="false" ht="15" hidden="false" customHeight="false" outlineLevel="0" collapsed="false">
      <c r="A58" s="10" t="s">
        <v>217</v>
      </c>
      <c r="B58" s="10" t="s">
        <v>93</v>
      </c>
      <c r="C58" s="10" t="n">
        <v>1996</v>
      </c>
      <c r="D58" s="12" t="n">
        <f aca="false">'Study multipliers'!I92-'Study multipliers'!H92</f>
        <v>10.61</v>
      </c>
      <c r="E58" s="12" t="n">
        <f aca="false">'Study multipliers'!K92</f>
        <v>2</v>
      </c>
      <c r="F58" s="12" t="n">
        <f aca="false">'Study multipliers'!N92*10/D58</f>
        <v>0.653296117398629</v>
      </c>
      <c r="G58" s="12" t="n">
        <f aca="false">'Study multipliers'!O92*10/D58</f>
        <v>0.2850712272834</v>
      </c>
      <c r="H58" s="13" t="n">
        <v>1</v>
      </c>
      <c r="I58" s="12" t="n">
        <f aca="false">IF(H58=1,1/(G58^2+$R$61),0)</f>
        <v>4.48868075621169</v>
      </c>
      <c r="J58" s="13"/>
      <c r="K58" s="13"/>
      <c r="L58" s="13"/>
      <c r="M58" s="13"/>
    </row>
    <row r="59" customFormat="false" ht="15" hidden="false" customHeight="false" outlineLevel="0" collapsed="false">
      <c r="A59" s="10" t="s">
        <v>217</v>
      </c>
      <c r="B59" s="10" t="s">
        <v>93</v>
      </c>
      <c r="C59" s="10" t="n">
        <v>2006</v>
      </c>
      <c r="D59" s="12" t="n">
        <f aca="false">'Study multipliers'!I93-'Study multipliers'!H93</f>
        <v>10.04</v>
      </c>
      <c r="E59" s="12" t="n">
        <f aca="false">'Study multipliers'!K93</f>
        <v>1.2</v>
      </c>
      <c r="F59" s="12" t="n">
        <f aca="false">'Study multipliers'!N93*10/D59</f>
        <v>0.181595176089596</v>
      </c>
      <c r="G59" s="12" t="n">
        <f aca="false">'Study multipliers'!O93*10/D59</f>
        <v>0.330135287663107</v>
      </c>
      <c r="H59" s="13" t="n">
        <v>1</v>
      </c>
      <c r="I59" s="12" t="n">
        <f aca="false">IF(H59=1,1/(G59^2+$R$61),0)</f>
        <v>3.99191540774609</v>
      </c>
      <c r="J59" s="13"/>
      <c r="K59" s="13"/>
      <c r="L59" s="13"/>
      <c r="M59" s="13"/>
    </row>
    <row r="60" customFormat="false" ht="15" hidden="false" customHeight="false" outlineLevel="0" collapsed="false">
      <c r="A60" s="10" t="s">
        <v>217</v>
      </c>
      <c r="B60" s="10" t="s">
        <v>154</v>
      </c>
      <c r="C60" s="10" t="n">
        <v>2001</v>
      </c>
      <c r="D60" s="12" t="n">
        <f aca="false">'Study multipliers'!I94-'Study multipliers'!H94</f>
        <v>9.29</v>
      </c>
      <c r="E60" s="12" t="n">
        <f aca="false">'Study multipliers'!K94</f>
        <v>0.71</v>
      </c>
      <c r="F60" s="12" t="n">
        <f aca="false">'Study multipliers'!N94*10/D60</f>
        <v>-0.368665563990071</v>
      </c>
      <c r="G60" s="12" t="n">
        <f aca="false">'Study multipliers'!O94*10/D60</f>
        <v>0.326357737968835</v>
      </c>
      <c r="H60" s="13" t="n">
        <v>1</v>
      </c>
      <c r="I60" s="12" t="n">
        <f aca="false">IF(H60=1,1/(G60^2+$R$61),0)</f>
        <v>4.03182927108802</v>
      </c>
      <c r="J60" s="13"/>
      <c r="K60" s="13"/>
      <c r="L60" s="13"/>
      <c r="M60" s="13"/>
    </row>
    <row r="61" customFormat="false" ht="15" hidden="false" customHeight="false" outlineLevel="0" collapsed="false">
      <c r="A61" s="23"/>
      <c r="B61" s="23" t="s">
        <v>300</v>
      </c>
      <c r="C61" s="23"/>
      <c r="D61" s="23"/>
      <c r="E61" s="23"/>
      <c r="F61" s="23"/>
      <c r="G61" s="23"/>
      <c r="H61" s="23"/>
      <c r="I61" s="23"/>
      <c r="J61" s="24" t="n">
        <f aca="false">EXP(S61)</f>
        <v>1.05790325111944</v>
      </c>
      <c r="K61" s="24" t="n">
        <f aca="false">EXP(S61-1.959964*T61)</f>
        <v>0.677969691447013</v>
      </c>
      <c r="L61" s="24" t="n">
        <f aca="false">EXP(S61+1.959964*T61)</f>
        <v>1.65075121033864</v>
      </c>
      <c r="M61" s="25" t="n">
        <f aca="false">IF(AND(N61&gt;1,P61&gt;0),MAX(0,(P61-(N61-1))/P61),0)</f>
        <v>0.632582535630802</v>
      </c>
      <c r="N61" s="23" t="n">
        <f aca="false">SUM($H$56:$H$60)</f>
        <v>5</v>
      </c>
      <c r="O61" s="23" t="n">
        <f aca="false">SUMPRODUCT($H$56:$H$60,1/$G$56:$G$60^2,$F$56:$F$60)/SUMPRODUCT($H$56:$H$60,1/$G$56:$G$60^2)</f>
        <v>0.0983657814827216</v>
      </c>
      <c r="P61" s="23" t="n">
        <f aca="false">IF(N61&gt;1,SUMPRODUCT($H$56:$H$60,1/$G$56:$G$60^2,($F$56:$F$60-O61)^2),0)</f>
        <v>10.886798772256</v>
      </c>
      <c r="Q61" s="23" t="n">
        <f aca="false">IF(N61&gt;1,SUMPRODUCT($H$56:$H$60,1/$G$56:$G$60^2)-SUMPRODUCT($H$56:$H$60,1/$G$56:$G$60^2,1/$G$56:$G$60^2)/SUMPRODUCT($H$56:$H$60,1/$G$56:$G$60^2),0)</f>
        <v>48.6641086653276</v>
      </c>
      <c r="R61" s="23" t="n">
        <f aca="false">IF(Q61&gt;0,MAX(0,(P61-(N61-1))/Q61),0)</f>
        <v>0.141517002183639</v>
      </c>
      <c r="S61" s="23" t="n">
        <f aca="false">SUMPRODUCT($I$56:$I$60,$F$56:$F$60)/SUM($I$56:$I$60)</f>
        <v>0.0562888841880561</v>
      </c>
      <c r="T61" s="23" t="n">
        <f aca="false">SQRT(1/SUM($I$56:$I$60))</f>
        <v>0.227015179416312</v>
      </c>
    </row>
    <row r="63" customFormat="false" ht="15" hidden="false" customHeight="false" outlineLevel="0" collapsed="false">
      <c r="A63" s="8" t="s">
        <v>233</v>
      </c>
      <c r="B63" s="9"/>
      <c r="C63" s="9"/>
      <c r="D63" s="9"/>
      <c r="E63" s="9"/>
      <c r="F63" s="9"/>
      <c r="G63" s="9"/>
      <c r="H63" s="9"/>
      <c r="I63" s="9"/>
      <c r="J63" s="9"/>
      <c r="K63" s="9"/>
      <c r="L63" s="9"/>
      <c r="M63" s="9"/>
    </row>
    <row r="64" customFormat="false" ht="15" hidden="false" customHeight="false" outlineLevel="0" collapsed="false">
      <c r="A64" s="10" t="s">
        <v>233</v>
      </c>
      <c r="B64" s="10" t="s">
        <v>234</v>
      </c>
      <c r="C64" s="10" t="n">
        <v>2006</v>
      </c>
      <c r="D64" s="12" t="n">
        <f aca="false">'Study multipliers'!I99-'Study multipliers'!H99</f>
        <v>3.98</v>
      </c>
      <c r="E64" s="12" t="n">
        <f aca="false">'Study multipliers'!K99</f>
        <v>0.9</v>
      </c>
      <c r="F64" s="12" t="n">
        <f aca="false">'Study multipliers'!N99*10/D64</f>
        <v>-0.264724913713131</v>
      </c>
      <c r="G64" s="12" t="n">
        <f aca="false">'Study multipliers'!O99*10/D64</f>
        <v>0.784405387615952</v>
      </c>
      <c r="H64" s="13" t="n">
        <v>1</v>
      </c>
      <c r="I64" s="12" t="n">
        <f aca="false">IF(H64=1,1/(G64^2+$R$67),0)</f>
        <v>1.62524509557988</v>
      </c>
      <c r="J64" s="13"/>
      <c r="K64" s="13"/>
      <c r="L64" s="13"/>
      <c r="M64" s="13"/>
    </row>
    <row r="65" customFormat="false" ht="15" hidden="false" customHeight="false" outlineLevel="0" collapsed="false">
      <c r="A65" s="10" t="s">
        <v>233</v>
      </c>
      <c r="B65" s="10" t="s">
        <v>125</v>
      </c>
      <c r="C65" s="10" t="n">
        <v>2016</v>
      </c>
      <c r="D65" s="12" t="n">
        <f aca="false">'Study multipliers'!I100-'Study multipliers'!H100</f>
        <v>6.5</v>
      </c>
      <c r="E65" s="12" t="n">
        <f aca="false">'Study multipliers'!K100</f>
        <v>1.08</v>
      </c>
      <c r="F65" s="12" t="n">
        <f aca="false">'Study multipliers'!N100*10/D65</f>
        <v>0.11840160174789</v>
      </c>
      <c r="G65" s="12" t="n">
        <f aca="false">'Study multipliers'!O100*10/D65</f>
        <v>0.227954734641918</v>
      </c>
      <c r="H65" s="13" t="n">
        <v>1</v>
      </c>
      <c r="I65" s="12" t="n">
        <f aca="false">IF(H65=1,1/(G65^2+$R$67),0)</f>
        <v>19.2443286938496</v>
      </c>
      <c r="J65" s="13"/>
      <c r="K65" s="13"/>
      <c r="L65" s="13"/>
      <c r="M65" s="13"/>
    </row>
    <row r="66" customFormat="false" ht="15" hidden="false" customHeight="false" outlineLevel="0" collapsed="false">
      <c r="A66" s="10" t="s">
        <v>233</v>
      </c>
      <c r="B66" s="10" t="s">
        <v>154</v>
      </c>
      <c r="C66" s="10" t="n">
        <v>2001</v>
      </c>
      <c r="D66" s="12" t="n">
        <f aca="false">'Study multipliers'!I101-'Study multipliers'!H101</f>
        <v>9.29</v>
      </c>
      <c r="E66" s="12" t="n">
        <f aca="false">'Study multipliers'!K101</f>
        <v>1</v>
      </c>
      <c r="F66" s="12" t="n">
        <f aca="false">'Study multipliers'!N101*10/D66</f>
        <v>0</v>
      </c>
      <c r="G66" s="12" t="n">
        <f aca="false">'Study multipliers'!O101*10/D66</f>
        <v>0.111342170526588</v>
      </c>
      <c r="H66" s="13" t="n">
        <v>1</v>
      </c>
      <c r="I66" s="12" t="n">
        <f aca="false">IF(H66=1,1/(G66^2+$R$67),0)</f>
        <v>80.6641633110276</v>
      </c>
      <c r="J66" s="13"/>
      <c r="K66" s="13"/>
      <c r="L66" s="13"/>
      <c r="M66" s="13"/>
    </row>
    <row r="67" customFormat="false" ht="15" hidden="false" customHeight="false" outlineLevel="0" collapsed="false">
      <c r="A67" s="23"/>
      <c r="B67" s="23" t="s">
        <v>300</v>
      </c>
      <c r="C67" s="23"/>
      <c r="D67" s="23"/>
      <c r="E67" s="23"/>
      <c r="F67" s="23"/>
      <c r="G67" s="23"/>
      <c r="H67" s="23"/>
      <c r="I67" s="23"/>
      <c r="J67" s="24" t="n">
        <f aca="false">EXP(S67)</f>
        <v>1.01837066595501</v>
      </c>
      <c r="K67" s="24" t="n">
        <f aca="false">EXP(S67-1.959964*T67)</f>
        <v>0.838361009073031</v>
      </c>
      <c r="L67" s="24" t="n">
        <f aca="false">EXP(S67+1.959964*T67)</f>
        <v>1.23703130519434</v>
      </c>
      <c r="M67" s="25" t="n">
        <f aca="false">IF(AND(N67&gt;1,P67&gt;0),MAX(0,(P67-(N67-1))/P67),0)</f>
        <v>0</v>
      </c>
      <c r="N67" s="23" t="n">
        <f aca="false">SUM($H$64:$H$66)</f>
        <v>3</v>
      </c>
      <c r="O67" s="23" t="n">
        <f aca="false">SUMPRODUCT($H$64:$H$66,1/$G$64:$G$66^2,$F$64:$F$66)/SUMPRODUCT($H$64:$H$66,1/$G$64:$G$66^2)</f>
        <v>0.0182039637957567</v>
      </c>
      <c r="P67" s="23" t="n">
        <f aca="false">IF(N67&gt;1,SUMPRODUCT($H$64:$H$66,1/$G$64:$G$66^2,($F$64:$F$66-O67)^2),0)</f>
        <v>0.350034395605374</v>
      </c>
      <c r="Q67" s="23" t="n">
        <f aca="false">IF(N67&gt;1,SUMPRODUCT($H$64:$H$66,1/$G$64:$G$66^2)-SUMPRODUCT($H$64:$H$66,1/$G$64:$G$66^2,1/$G$64:$G$66^2)/SUMPRODUCT($H$64:$H$66,1/$G$64:$G$66^2),0)</f>
        <v>33.7760336254139</v>
      </c>
      <c r="R67" s="23" t="n">
        <f aca="false">IF(Q67&gt;0,MAX(0,(P67-(N67-1))/Q67),0)</f>
        <v>0</v>
      </c>
      <c r="S67" s="23" t="n">
        <f aca="false">SUMPRODUCT($I$64:$I$66,$F$64:$F$66)/SUM($I$64:$I$66)</f>
        <v>0.0182039637957567</v>
      </c>
      <c r="T67" s="23" t="n">
        <f aca="false">SQRT(1/SUM($I$64:$I$66))</f>
        <v>0.0992418415064267</v>
      </c>
    </row>
    <row r="69" customFormat="false" ht="15" hidden="false" customHeight="false" outlineLevel="0" collapsed="false">
      <c r="A69" s="8" t="s">
        <v>240</v>
      </c>
      <c r="B69" s="9"/>
      <c r="C69" s="9"/>
      <c r="D69" s="9"/>
      <c r="E69" s="9"/>
      <c r="F69" s="9"/>
      <c r="G69" s="9"/>
      <c r="H69" s="9"/>
      <c r="I69" s="9"/>
      <c r="J69" s="9"/>
      <c r="K69" s="9"/>
      <c r="L69" s="9"/>
      <c r="M69" s="9"/>
    </row>
    <row r="70" customFormat="false" ht="15" hidden="false" customHeight="false" outlineLevel="0" collapsed="false">
      <c r="A70" s="10" t="s">
        <v>240</v>
      </c>
      <c r="B70" s="10" t="s">
        <v>154</v>
      </c>
      <c r="C70" s="10" t="n">
        <v>2001</v>
      </c>
      <c r="D70" s="12" t="n">
        <f aca="false">'Study multipliers'!I108-'Study multipliers'!H108</f>
        <v>9.29</v>
      </c>
      <c r="E70" s="12" t="n">
        <f aca="false">'Study multipliers'!K108</f>
        <v>0.92</v>
      </c>
      <c r="F70" s="12" t="n">
        <f aca="false">'Study multipliers'!N108*10/D70</f>
        <v>-0.0897541538633488</v>
      </c>
      <c r="G70" s="12" t="n">
        <f aca="false">'Study multipliers'!O108*10/D70</f>
        <v>0.313736370967168</v>
      </c>
      <c r="H70" s="13" t="n">
        <v>1</v>
      </c>
      <c r="I70" s="12" t="n">
        <f aca="false">IF(H70=1,1/(G70^2+$R$71),0)</f>
        <v>10.1594515282807</v>
      </c>
      <c r="J70" s="13"/>
      <c r="K70" s="13"/>
      <c r="L70" s="13"/>
      <c r="M70" s="13"/>
    </row>
    <row r="71" customFormat="false" ht="15" hidden="false" customHeight="false" outlineLevel="0" collapsed="false">
      <c r="A71" s="23"/>
      <c r="B71" s="23" t="s">
        <v>300</v>
      </c>
      <c r="C71" s="23"/>
      <c r="D71" s="23"/>
      <c r="E71" s="23"/>
      <c r="F71" s="23"/>
      <c r="G71" s="23"/>
      <c r="H71" s="23"/>
      <c r="I71" s="23"/>
      <c r="J71" s="24" t="n">
        <f aca="false">EXP(S71)</f>
        <v>0.914155899343704</v>
      </c>
      <c r="K71" s="24" t="n">
        <f aca="false">EXP(S71-1.959964*T71)</f>
        <v>0.494273561697208</v>
      </c>
      <c r="L71" s="24" t="n">
        <f aca="false">EXP(S71+1.959964*T71)</f>
        <v>1.69072568930327</v>
      </c>
      <c r="M71" s="25" t="n">
        <f aca="false">IF(AND(N71&gt;1,P71&gt;0),MAX(0,(P71-(N71-1))/P71),0)</f>
        <v>0</v>
      </c>
      <c r="N71" s="23" t="n">
        <f aca="false">SUM($H$70:$H$70)</f>
        <v>1</v>
      </c>
      <c r="O71" s="23" t="n">
        <f aca="false">SUMPRODUCT($H$70:$H$70,1/$G$70:$G$70^2,$F$70:$F$70)/SUMPRODUCT($H$70:$H$70,1/$G$70:$G$70^2)</f>
        <v>-0.0897541538633488</v>
      </c>
      <c r="P71" s="23" t="n">
        <f aca="false">IF(N71&gt;1,SUMPRODUCT($H$70:$H$70,1/$G$70:$G$70^2,($F$70:$F$70-O71)^2),0)</f>
        <v>0</v>
      </c>
      <c r="Q71" s="23" t="n">
        <f aca="false">IF(N71&gt;1,SUMPRODUCT($H$70:$H$70,1/$G$70:$G$70^2)-SUMPRODUCT($H$70:$H$70,1/$G$70:$G$70^2,1/$G$70:$G$70^2)/SUMPRODUCT($H$70:$H$70,1/$G$70:$G$70^2),0)</f>
        <v>0</v>
      </c>
      <c r="R71" s="23" t="n">
        <f aca="false">IF(Q71&gt;0,MAX(0,(P71-(N71-1))/Q71),0)</f>
        <v>0</v>
      </c>
      <c r="S71" s="23" t="n">
        <f aca="false">SUMPRODUCT($I$70:$I$70,$F$70:$F$70)/SUM($I$70:$I$70)</f>
        <v>-0.0897541538633488</v>
      </c>
      <c r="T71" s="23" t="n">
        <f aca="false">SQRT(1/SUM($I$70:$I$70))</f>
        <v>0.313736370967168</v>
      </c>
    </row>
    <row r="73" customFormat="false" ht="15" hidden="false" customHeight="false" outlineLevel="0" collapsed="false">
      <c r="A73" s="8" t="s">
        <v>244</v>
      </c>
      <c r="B73" s="9"/>
      <c r="C73" s="9"/>
      <c r="D73" s="9"/>
      <c r="E73" s="9"/>
      <c r="F73" s="9"/>
      <c r="G73" s="9"/>
      <c r="H73" s="9"/>
      <c r="I73" s="9"/>
      <c r="J73" s="9"/>
      <c r="K73" s="9"/>
      <c r="L73" s="9"/>
      <c r="M73" s="9"/>
    </row>
    <row r="74" customFormat="false" ht="15" hidden="false" customHeight="false" outlineLevel="0" collapsed="false">
      <c r="A74" s="10" t="s">
        <v>244</v>
      </c>
      <c r="B74" s="10" t="s">
        <v>245</v>
      </c>
      <c r="C74" s="10" t="n">
        <v>2015</v>
      </c>
      <c r="D74" s="12" t="n">
        <f aca="false">'Study multipliers'!I113-'Study multipliers'!H113</f>
        <v>11.09</v>
      </c>
      <c r="E74" s="12" t="n">
        <f aca="false">'Study multipliers'!K113</f>
        <v>2.14</v>
      </c>
      <c r="F74" s="12" t="n">
        <f aca="false">'Study multipliers'!N113*10/D74</f>
        <v>0.686028700661641</v>
      </c>
      <c r="G74" s="12" t="n">
        <f aca="false">'Study multipliers'!O113*10/D74</f>
        <v>0.23043854150983</v>
      </c>
      <c r="H74" s="13" t="n">
        <v>1</v>
      </c>
      <c r="I74" s="12" t="n">
        <f aca="false">IF(H74=1,1/(G74^2+$R$75),0)</f>
        <v>18.8317102919715</v>
      </c>
      <c r="J74" s="13"/>
      <c r="K74" s="13"/>
      <c r="L74" s="13"/>
      <c r="M74" s="13"/>
    </row>
    <row r="75" customFormat="false" ht="15" hidden="false" customHeight="false" outlineLevel="0" collapsed="false">
      <c r="A75" s="23"/>
      <c r="B75" s="23" t="s">
        <v>300</v>
      </c>
      <c r="C75" s="23"/>
      <c r="D75" s="23"/>
      <c r="E75" s="23"/>
      <c r="F75" s="23"/>
      <c r="G75" s="23"/>
      <c r="H75" s="23"/>
      <c r="I75" s="23"/>
      <c r="J75" s="24" t="n">
        <f aca="false">EXP(S75)</f>
        <v>1.98581359293546</v>
      </c>
      <c r="K75" s="24" t="n">
        <f aca="false">EXP(S75-1.959964*T75)</f>
        <v>1.26412155128167</v>
      </c>
      <c r="L75" s="24" t="n">
        <f aca="false">EXP(S75+1.959964*T75)</f>
        <v>3.11952250310823</v>
      </c>
      <c r="M75" s="25" t="n">
        <f aca="false">IF(AND(N75&gt;1,P75&gt;0),MAX(0,(P75-(N75-1))/P75),0)</f>
        <v>0</v>
      </c>
      <c r="N75" s="23" t="n">
        <f aca="false">SUM($H$74:$H$74)</f>
        <v>1</v>
      </c>
      <c r="O75" s="23" t="n">
        <f aca="false">SUMPRODUCT($H$74:$H$74,1/$G$74:$G$74^2,$F$74:$F$74)/SUMPRODUCT($H$74:$H$74,1/$G$74:$G$74^2)</f>
        <v>0.686028700661641</v>
      </c>
      <c r="P75" s="23" t="n">
        <f aca="false">IF(N75&gt;1,SUMPRODUCT($H$74:$H$74,1/$G$74:$G$74^2,($F$74:$F$74-O75)^2),0)</f>
        <v>0</v>
      </c>
      <c r="Q75" s="23" t="n">
        <f aca="false">IF(N75&gt;1,SUMPRODUCT($H$74:$H$74,1/$G$74:$G$74^2)-SUMPRODUCT($H$74:$H$74,1/$G$74:$G$74^2,1/$G$74:$G$74^2)/SUMPRODUCT($H$74:$H$74,1/$G$74:$G$74^2),0)</f>
        <v>0</v>
      </c>
      <c r="R75" s="23" t="n">
        <f aca="false">IF(Q75&gt;0,MAX(0,(P75-(N75-1))/Q75),0)</f>
        <v>0</v>
      </c>
      <c r="S75" s="23" t="n">
        <f aca="false">SUMPRODUCT($I$74:$I$74,$F$74:$F$74)/SUM($I$74:$I$74)</f>
        <v>0.686028700661641</v>
      </c>
      <c r="T75" s="23" t="n">
        <f aca="false">SQRT(1/SUM($I$74:$I$74))</f>
        <v>0.23043854150983</v>
      </c>
    </row>
    <row r="77" customFormat="false" ht="15" hidden="false" customHeight="false" outlineLevel="0" collapsed="false">
      <c r="A77" s="8" t="s">
        <v>249</v>
      </c>
      <c r="B77" s="9"/>
      <c r="C77" s="9"/>
      <c r="D77" s="9"/>
      <c r="E77" s="9"/>
      <c r="F77" s="9"/>
      <c r="G77" s="9"/>
      <c r="H77" s="9"/>
      <c r="I77" s="9"/>
      <c r="J77" s="9"/>
      <c r="K77" s="9"/>
      <c r="L77" s="9"/>
      <c r="M77" s="9"/>
    </row>
    <row r="78" customFormat="false" ht="15" hidden="false" customHeight="false" outlineLevel="0" collapsed="false">
      <c r="A78" s="10" t="s">
        <v>249</v>
      </c>
      <c r="B78" s="10" t="s">
        <v>154</v>
      </c>
      <c r="C78" s="10" t="n">
        <v>2001</v>
      </c>
      <c r="D78" s="12" t="n">
        <f aca="false">'Study multipliers'!I119-'Study multipliers'!H119</f>
        <v>9.29</v>
      </c>
      <c r="E78" s="12" t="n">
        <f aca="false">'Study multipliers'!K119</f>
        <v>0.65</v>
      </c>
      <c r="F78" s="12" t="n">
        <f aca="false">'Study multipliers'!N119*10/D78</f>
        <v>-0.463706045309423</v>
      </c>
      <c r="G78" s="12" t="n">
        <f aca="false">'Study multipliers'!O119*10/D78</f>
        <v>0.267617566727976</v>
      </c>
      <c r="H78" s="13" t="n">
        <v>1</v>
      </c>
      <c r="I78" s="12" t="n">
        <f aca="false">IF(H78=1,1/(G78^2+$R$79),0)</f>
        <v>13.9627436537328</v>
      </c>
      <c r="J78" s="13"/>
      <c r="K78" s="13"/>
      <c r="L78" s="13"/>
      <c r="M78" s="13"/>
    </row>
    <row r="79" customFormat="false" ht="15" hidden="false" customHeight="false" outlineLevel="0" collapsed="false">
      <c r="A79" s="23"/>
      <c r="B79" s="23" t="s">
        <v>300</v>
      </c>
      <c r="C79" s="23"/>
      <c r="D79" s="23"/>
      <c r="E79" s="23"/>
      <c r="F79" s="23"/>
      <c r="G79" s="23"/>
      <c r="H79" s="23"/>
      <c r="I79" s="23"/>
      <c r="J79" s="24" t="n">
        <f aca="false">EXP(S79)</f>
        <v>0.628948409631388</v>
      </c>
      <c r="K79" s="24" t="n">
        <f aca="false">EXP(S79-1.959964*T79)</f>
        <v>0.372236139735579</v>
      </c>
      <c r="L79" s="24" t="n">
        <f aca="false">EXP(S79+1.959964*T79)</f>
        <v>1.06270203172334</v>
      </c>
      <c r="M79" s="25" t="n">
        <f aca="false">IF(AND(N79&gt;1,P79&gt;0),MAX(0,(P79-(N79-1))/P79),0)</f>
        <v>0</v>
      </c>
      <c r="N79" s="23" t="n">
        <f aca="false">SUM($H$78:$H$78)</f>
        <v>1</v>
      </c>
      <c r="O79" s="23" t="n">
        <f aca="false">SUMPRODUCT($H$78:$H$78,1/$G$78:$G$78^2,$F$78:$F$78)/SUMPRODUCT($H$78:$H$78,1/$G$78:$G$78^2)</f>
        <v>-0.463706045309423</v>
      </c>
      <c r="P79" s="23" t="n">
        <f aca="false">IF(N79&gt;1,SUMPRODUCT($H$78:$H$78,1/$G$78:$G$78^2,($F$78:$F$78-O79)^2),0)</f>
        <v>0</v>
      </c>
      <c r="Q79" s="23" t="n">
        <f aca="false">IF(N79&gt;1,SUMPRODUCT($H$78:$H$78,1/$G$78:$G$78^2)-SUMPRODUCT($H$78:$H$78,1/$G$78:$G$78^2,1/$G$78:$G$78^2)/SUMPRODUCT($H$78:$H$78,1/$G$78:$G$78^2),0)</f>
        <v>0</v>
      </c>
      <c r="R79" s="23" t="n">
        <f aca="false">IF(Q79&gt;0,MAX(0,(P79-(N79-1))/Q79),0)</f>
        <v>0</v>
      </c>
      <c r="S79" s="23" t="n">
        <f aca="false">SUMPRODUCT($I$78:$I$78,$F$78:$F$78)/SUM($I$78:$I$78)</f>
        <v>-0.463706045309423</v>
      </c>
      <c r="T79" s="23" t="n">
        <f aca="false">SQRT(1/SUM($I$78:$I$78))</f>
        <v>0.267617566727976</v>
      </c>
    </row>
    <row r="81" customFormat="false" ht="15" hidden="false" customHeight="false" outlineLevel="0" collapsed="false">
      <c r="A81" s="8" t="s">
        <v>252</v>
      </c>
      <c r="B81" s="9"/>
      <c r="C81" s="9"/>
      <c r="D81" s="9"/>
      <c r="E81" s="9"/>
      <c r="F81" s="9"/>
      <c r="G81" s="9"/>
      <c r="H81" s="9"/>
      <c r="I81" s="9"/>
      <c r="J81" s="9"/>
      <c r="K81" s="9"/>
      <c r="L81" s="9"/>
      <c r="M81" s="9"/>
    </row>
    <row r="82" customFormat="false" ht="15" hidden="false" customHeight="false" outlineLevel="0" collapsed="false">
      <c r="A82" s="10" t="s">
        <v>252</v>
      </c>
      <c r="B82" s="10" t="s">
        <v>93</v>
      </c>
      <c r="C82" s="10" t="n">
        <v>2010</v>
      </c>
      <c r="D82" s="12" t="n">
        <f aca="false">'Study multipliers'!I130-'Study multipliers'!H130</f>
        <v>9.29</v>
      </c>
      <c r="E82" s="12" t="n">
        <f aca="false">'Study multipliers'!K130</f>
        <v>2.18</v>
      </c>
      <c r="F82" s="12" t="n">
        <f aca="false">'Study multipliers'!N130*10/D82</f>
        <v>0.838885766201289</v>
      </c>
      <c r="G82" s="12" t="n">
        <f aca="false">'Study multipliers'!O130*10/D82</f>
        <v>0.531980469456112</v>
      </c>
      <c r="H82" s="13" t="n">
        <v>1</v>
      </c>
      <c r="I82" s="12" t="n">
        <f aca="false">IF(H82=1,1/(G82^2+$R$83),0)</f>
        <v>3.53352870124348</v>
      </c>
      <c r="J82" s="13"/>
      <c r="K82" s="13"/>
      <c r="L82" s="13"/>
      <c r="M82" s="13"/>
    </row>
    <row r="83" customFormat="false" ht="15" hidden="false" customHeight="false" outlineLevel="0" collapsed="false">
      <c r="A83" s="23"/>
      <c r="B83" s="23" t="s">
        <v>300</v>
      </c>
      <c r="C83" s="23"/>
      <c r="D83" s="23"/>
      <c r="E83" s="23"/>
      <c r="F83" s="23"/>
      <c r="G83" s="23"/>
      <c r="H83" s="23"/>
      <c r="I83" s="23"/>
      <c r="J83" s="24" t="n">
        <f aca="false">EXP(S83)</f>
        <v>2.31378743977588</v>
      </c>
      <c r="K83" s="24" t="n">
        <f aca="false">EXP(S83-1.959964*T83)</f>
        <v>0.815644400552636</v>
      </c>
      <c r="L83" s="24" t="n">
        <f aca="false">EXP(S83+1.959964*T83)</f>
        <v>6.56365974294351</v>
      </c>
      <c r="M83" s="25" t="n">
        <f aca="false">IF(AND(N83&gt;1,P83&gt;0),MAX(0,(P83-(N83-1))/P83),0)</f>
        <v>0</v>
      </c>
      <c r="N83" s="23" t="n">
        <f aca="false">SUM($H$82:$H$82)</f>
        <v>1</v>
      </c>
      <c r="O83" s="23" t="n">
        <f aca="false">SUMPRODUCT($H$82:$H$82,1/$G$82:$G$82^2,$F$82:$F$82)/SUMPRODUCT($H$82:$H$82,1/$G$82:$G$82^2)</f>
        <v>0.838885766201289</v>
      </c>
      <c r="P83" s="23" t="n">
        <f aca="false">IF(N83&gt;1,SUMPRODUCT($H$82:$H$82,1/$G$82:$G$82^2,($F$82:$F$82-O83)^2),0)</f>
        <v>0</v>
      </c>
      <c r="Q83" s="23" t="n">
        <f aca="false">IF(N83&gt;1,SUMPRODUCT($H$82:$H$82,1/$G$82:$G$82^2)-SUMPRODUCT($H$82:$H$82,1/$G$82:$G$82^2,1/$G$82:$G$82^2)/SUMPRODUCT($H$82:$H$82,1/$G$82:$G$82^2),0)</f>
        <v>0</v>
      </c>
      <c r="R83" s="23" t="n">
        <f aca="false">IF(Q83&gt;0,MAX(0,(P83-(N83-1))/Q83),0)</f>
        <v>0</v>
      </c>
      <c r="S83" s="23" t="n">
        <f aca="false">SUMPRODUCT($I$82:$I$82,$F$82:$F$82)/SUM($I$82:$I$82)</f>
        <v>0.838885766201289</v>
      </c>
      <c r="T83" s="23" t="n">
        <f aca="false">SQRT(1/SUM($I$82:$I$82))</f>
        <v>0.531980469456112</v>
      </c>
    </row>
    <row r="85" customFormat="false" ht="15" hidden="false" customHeight="false" outlineLevel="0" collapsed="false">
      <c r="A85" s="8" t="s">
        <v>254</v>
      </c>
      <c r="B85" s="9"/>
      <c r="C85" s="9"/>
      <c r="D85" s="9"/>
      <c r="E85" s="9"/>
      <c r="F85" s="9"/>
      <c r="G85" s="9"/>
      <c r="H85" s="9"/>
      <c r="I85" s="9"/>
      <c r="J85" s="9"/>
      <c r="K85" s="9"/>
      <c r="L85" s="9"/>
      <c r="M85" s="9"/>
    </row>
    <row r="86" customFormat="false" ht="15" hidden="false" customHeight="false" outlineLevel="0" collapsed="false">
      <c r="A86" s="10" t="s">
        <v>254</v>
      </c>
      <c r="B86" s="10" t="s">
        <v>154</v>
      </c>
      <c r="C86" s="10" t="n">
        <v>2001</v>
      </c>
      <c r="D86" s="12" t="n">
        <f aca="false">'Study multipliers'!I135-'Study multipliers'!H135</f>
        <v>9.29</v>
      </c>
      <c r="E86" s="12" t="n">
        <f aca="false">'Study multipliers'!K135</f>
        <v>0.83</v>
      </c>
      <c r="F86" s="12" t="n">
        <f aca="false">'Study multipliers'!N135*10/D86</f>
        <v>-0.200570051874589</v>
      </c>
      <c r="G86" s="12" t="n">
        <f aca="false">'Study multipliers'!O135*10/D86</f>
        <v>0.227632287182683</v>
      </c>
      <c r="H86" s="13" t="n">
        <v>1</v>
      </c>
      <c r="I86" s="12" t="n">
        <f aca="false">IF(H86=1,1/(G86^2+$R$87),0)</f>
        <v>19.2988875611184</v>
      </c>
      <c r="J86" s="13"/>
      <c r="K86" s="13"/>
      <c r="L86" s="13"/>
      <c r="M86" s="13"/>
    </row>
    <row r="87" customFormat="false" ht="15" hidden="false" customHeight="false" outlineLevel="0" collapsed="false">
      <c r="A87" s="23"/>
      <c r="B87" s="23" t="s">
        <v>300</v>
      </c>
      <c r="C87" s="23"/>
      <c r="D87" s="23"/>
      <c r="E87" s="23"/>
      <c r="F87" s="23"/>
      <c r="G87" s="23"/>
      <c r="H87" s="23"/>
      <c r="I87" s="23"/>
      <c r="J87" s="24" t="n">
        <f aca="false">EXP(S87)</f>
        <v>0.818264167079153</v>
      </c>
      <c r="K87" s="24" t="n">
        <f aca="false">EXP(S87-1.959964*T87)</f>
        <v>0.523760301088232</v>
      </c>
      <c r="L87" s="24" t="n">
        <f aca="false">EXP(S87+1.959964*T87)</f>
        <v>1.27836387319654</v>
      </c>
      <c r="M87" s="25" t="n">
        <f aca="false">IF(AND(N87&gt;1,P87&gt;0),MAX(0,(P87-(N87-1))/P87),0)</f>
        <v>0</v>
      </c>
      <c r="N87" s="23" t="n">
        <f aca="false">SUM($H$86:$H$86)</f>
        <v>1</v>
      </c>
      <c r="O87" s="23" t="n">
        <f aca="false">SUMPRODUCT($H$86:$H$86,1/$G$86:$G$86^2,$F$86:$F$86)/SUMPRODUCT($H$86:$H$86,1/$G$86:$G$86^2)</f>
        <v>-0.200570051874589</v>
      </c>
      <c r="P87" s="23" t="n">
        <f aca="false">IF(N87&gt;1,SUMPRODUCT($H$86:$H$86,1/$G$86:$G$86^2,($F$86:$F$86-O87)^2),0)</f>
        <v>0</v>
      </c>
      <c r="Q87" s="23" t="n">
        <f aca="false">IF(N87&gt;1,SUMPRODUCT($H$86:$H$86,1/$G$86:$G$86^2)-SUMPRODUCT($H$86:$H$86,1/$G$86:$G$86^2,1/$G$86:$G$86^2)/SUMPRODUCT($H$86:$H$86,1/$G$86:$G$86^2),0)</f>
        <v>0</v>
      </c>
      <c r="R87" s="23" t="n">
        <f aca="false">IF(Q87&gt;0,MAX(0,(P87-(N87-1))/Q87),0)</f>
        <v>0</v>
      </c>
      <c r="S87" s="23" t="n">
        <f aca="false">SUMPRODUCT($I$86:$I$86,$F$86:$F$86)/SUM($I$86:$I$86)</f>
        <v>-0.200570051874589</v>
      </c>
      <c r="T87" s="23" t="n">
        <f aca="false">SQRT(1/SUM($I$86:$I$86))</f>
        <v>0.227632287182683</v>
      </c>
    </row>
    <row r="89" customFormat="false" ht="15" hidden="false" customHeight="false" outlineLevel="0" collapsed="false">
      <c r="A89" s="8" t="s">
        <v>256</v>
      </c>
      <c r="B89" s="9"/>
      <c r="C89" s="9"/>
      <c r="D89" s="9"/>
      <c r="E89" s="9"/>
      <c r="F89" s="9"/>
      <c r="G89" s="9"/>
      <c r="H89" s="9"/>
      <c r="I89" s="9"/>
      <c r="J89" s="9"/>
      <c r="K89" s="9"/>
      <c r="L89" s="9"/>
      <c r="M89" s="9"/>
    </row>
    <row r="90" customFormat="false" ht="15" hidden="false" customHeight="false" outlineLevel="0" collapsed="false">
      <c r="A90" s="10" t="s">
        <v>256</v>
      </c>
      <c r="B90" s="10" t="s">
        <v>154</v>
      </c>
      <c r="C90" s="10" t="n">
        <v>2001</v>
      </c>
      <c r="D90" s="12" t="n">
        <f aca="false">'Study multipliers'!I140-'Study multipliers'!H140</f>
        <v>9.29</v>
      </c>
      <c r="E90" s="12" t="n">
        <f aca="false">'Study multipliers'!K140</f>
        <v>0.92</v>
      </c>
      <c r="F90" s="12" t="n">
        <f aca="false">'Study multipliers'!N140*10/D90</f>
        <v>-0.0897541538633488</v>
      </c>
      <c r="G90" s="12" t="n">
        <f aca="false">'Study multipliers'!O140*10/D90</f>
        <v>0.241181472793297</v>
      </c>
      <c r="H90" s="13" t="n">
        <v>1</v>
      </c>
      <c r="I90" s="12" t="n">
        <f aca="false">IF(H90=1,1/(G90^2+$R$91),0)</f>
        <v>17.1914343939031</v>
      </c>
      <c r="J90" s="13"/>
      <c r="K90" s="13"/>
      <c r="L90" s="13"/>
      <c r="M90" s="13"/>
    </row>
    <row r="91" customFormat="false" ht="15" hidden="false" customHeight="false" outlineLevel="0" collapsed="false">
      <c r="A91" s="23"/>
      <c r="B91" s="23" t="s">
        <v>300</v>
      </c>
      <c r="C91" s="23"/>
      <c r="D91" s="23"/>
      <c r="E91" s="23"/>
      <c r="F91" s="23"/>
      <c r="G91" s="23"/>
      <c r="H91" s="23"/>
      <c r="I91" s="23"/>
      <c r="J91" s="24" t="n">
        <f aca="false">EXP(S91)</f>
        <v>0.914155899343704</v>
      </c>
      <c r="K91" s="24" t="n">
        <f aca="false">EXP(S91-1.959964*T91)</f>
        <v>0.569804956662265</v>
      </c>
      <c r="L91" s="24" t="n">
        <f aca="false">EXP(S91+1.959964*T91)</f>
        <v>1.466608878238</v>
      </c>
      <c r="M91" s="25" t="n">
        <f aca="false">IF(AND(N91&gt;1,P91&gt;0),MAX(0,(P91-(N91-1))/P91),0)</f>
        <v>0</v>
      </c>
      <c r="N91" s="23" t="n">
        <f aca="false">SUM($H$90:$H$90)</f>
        <v>1</v>
      </c>
      <c r="O91" s="23" t="n">
        <f aca="false">SUMPRODUCT($H$90:$H$90,1/$G$90:$G$90^2,$F$90:$F$90)/SUMPRODUCT($H$90:$H$90,1/$G$90:$G$90^2)</f>
        <v>-0.0897541538633488</v>
      </c>
      <c r="P91" s="23" t="n">
        <f aca="false">IF(N91&gt;1,SUMPRODUCT($H$90:$H$90,1/$G$90:$G$90^2,($F$90:$F$90-O91)^2),0)</f>
        <v>0</v>
      </c>
      <c r="Q91" s="23" t="n">
        <f aca="false">IF(N91&gt;1,SUMPRODUCT($H$90:$H$90,1/$G$90:$G$90^2)-SUMPRODUCT($H$90:$H$90,1/$G$90:$G$90^2,1/$G$90:$G$90^2)/SUMPRODUCT($H$90:$H$90,1/$G$90:$G$90^2),0)</f>
        <v>0</v>
      </c>
      <c r="R91" s="23" t="n">
        <f aca="false">IF(Q91&gt;0,MAX(0,(P91-(N91-1))/Q91),0)</f>
        <v>0</v>
      </c>
      <c r="S91" s="23" t="n">
        <f aca="false">SUMPRODUCT($I$90:$I$90,$F$90:$F$90)/SUM($I$90:$I$90)</f>
        <v>-0.0897541538633488</v>
      </c>
      <c r="T91" s="23" t="n">
        <f aca="false">SQRT(1/SUM($I$90:$I$90))</f>
        <v>0.241181472793297</v>
      </c>
    </row>
    <row r="93" customFormat="false" ht="15" hidden="false" customHeight="false" outlineLevel="0" collapsed="false">
      <c r="A93" s="8" t="s">
        <v>259</v>
      </c>
      <c r="B93" s="9"/>
      <c r="C93" s="9"/>
      <c r="D93" s="9"/>
      <c r="E93" s="9"/>
      <c r="F93" s="9"/>
      <c r="G93" s="9"/>
      <c r="H93" s="9"/>
      <c r="I93" s="9"/>
      <c r="J93" s="9"/>
      <c r="K93" s="9"/>
      <c r="L93" s="9"/>
      <c r="M93" s="9"/>
    </row>
    <row r="94" customFormat="false" ht="15" hidden="false" customHeight="false" outlineLevel="0" collapsed="false">
      <c r="A94" s="10" t="s">
        <v>259</v>
      </c>
      <c r="B94" s="10" t="s">
        <v>154</v>
      </c>
      <c r="C94" s="10" t="n">
        <v>2001</v>
      </c>
      <c r="D94" s="12" t="n">
        <f aca="false">'Study multipliers'!I150-'Study multipliers'!H150</f>
        <v>9.29</v>
      </c>
      <c r="E94" s="12" t="n">
        <f aca="false">'Study multipliers'!K150</f>
        <v>1.7</v>
      </c>
      <c r="F94" s="12" t="n">
        <f aca="false">'Study multipliers'!N150*10/D94</f>
        <v>0.571182186288666</v>
      </c>
      <c r="G94" s="12" t="n">
        <f aca="false">'Study multipliers'!O150*10/D94</f>
        <v>0.455001724636558</v>
      </c>
      <c r="H94" s="13" t="n">
        <v>1</v>
      </c>
      <c r="I94" s="12" t="n">
        <f aca="false">IF(H94=1,1/(G94^2+$R$95),0)</f>
        <v>4.8302978829758</v>
      </c>
      <c r="J94" s="13"/>
      <c r="K94" s="13"/>
      <c r="L94" s="13"/>
      <c r="M94" s="13"/>
    </row>
    <row r="95" customFormat="false" ht="15" hidden="false" customHeight="false" outlineLevel="0" collapsed="false">
      <c r="A95" s="23"/>
      <c r="B95" s="23" t="s">
        <v>300</v>
      </c>
      <c r="C95" s="23"/>
      <c r="D95" s="23"/>
      <c r="E95" s="23"/>
      <c r="F95" s="23"/>
      <c r="G95" s="23"/>
      <c r="H95" s="23"/>
      <c r="I95" s="23"/>
      <c r="J95" s="24" t="n">
        <f aca="false">EXP(S95)</f>
        <v>1.77035870861726</v>
      </c>
      <c r="K95" s="24" t="n">
        <f aca="false">EXP(S95-1.959964*T95)</f>
        <v>0.725709984801652</v>
      </c>
      <c r="L95" s="24" t="n">
        <f aca="false">EXP(S95+1.959964*T95)</f>
        <v>4.31876372492462</v>
      </c>
      <c r="M95" s="25" t="n">
        <f aca="false">IF(AND(N95&gt;1,P95&gt;0),MAX(0,(P95-(N95-1))/P95),0)</f>
        <v>0</v>
      </c>
      <c r="N95" s="23" t="n">
        <f aca="false">SUM($H$94:$H$94)</f>
        <v>1</v>
      </c>
      <c r="O95" s="23" t="n">
        <f aca="false">SUMPRODUCT($H$94:$H$94,1/$G$94:$G$94^2,$F$94:$F$94)/SUMPRODUCT($H$94:$H$94,1/$G$94:$G$94^2)</f>
        <v>0.571182186288666</v>
      </c>
      <c r="P95" s="23" t="n">
        <f aca="false">IF(N95&gt;1,SUMPRODUCT($H$94:$H$94,1/$G$94:$G$94^2,($F$94:$F$94-O95)^2),0)</f>
        <v>0</v>
      </c>
      <c r="Q95" s="23" t="n">
        <f aca="false">IF(N95&gt;1,SUMPRODUCT($H$94:$H$94,1/$G$94:$G$94^2)-SUMPRODUCT($H$94:$H$94,1/$G$94:$G$94^2,1/$G$94:$G$94^2)/SUMPRODUCT($H$94:$H$94,1/$G$94:$G$94^2),0)</f>
        <v>0</v>
      </c>
      <c r="R95" s="23" t="n">
        <f aca="false">IF(Q95&gt;0,MAX(0,(P95-(N95-1))/Q95),0)</f>
        <v>0</v>
      </c>
      <c r="S95" s="23" t="n">
        <f aca="false">SUMPRODUCT($I$94:$I$94,$F$94:$F$94)/SUM($I$94:$I$94)</f>
        <v>0.571182186288666</v>
      </c>
      <c r="T95" s="23" t="n">
        <f aca="false">SQRT(1/SUM($I$94:$I$94))</f>
        <v>0.455001724636558</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6"/>
    <col collapsed="false" customWidth="true" hidden="false" outlineLevel="0" max="4" min="4" style="0" width="15"/>
    <col collapsed="false" customWidth="true" hidden="false" outlineLevel="0" max="6" min="5" style="0" width="10"/>
    <col collapsed="false" customWidth="true" hidden="false" outlineLevel="0" max="7" min="7" style="0" width="9"/>
    <col collapsed="false" customWidth="true" hidden="false" outlineLevel="0" max="15" min="9" style="0" width="9"/>
  </cols>
  <sheetData>
    <row r="1" customFormat="false" ht="17.35" hidden="false" customHeight="false" outlineLevel="0" collapsed="false">
      <c r="A1" s="22" t="s">
        <v>301</v>
      </c>
    </row>
    <row r="2" customFormat="false" ht="72" hidden="false" customHeight="true" outlineLevel="0" collapsed="false">
      <c r="A2" s="26" t="s">
        <v>302</v>
      </c>
      <c r="B2" s="26"/>
      <c r="C2" s="26"/>
      <c r="D2" s="26"/>
      <c r="E2" s="26"/>
      <c r="F2" s="26"/>
      <c r="G2" s="26"/>
    </row>
    <row r="4" customFormat="false" ht="42" hidden="false" customHeight="true" outlineLevel="0" collapsed="false">
      <c r="A4" s="6" t="s">
        <v>303</v>
      </c>
      <c r="B4" s="6" t="s">
        <v>304</v>
      </c>
      <c r="C4" s="6" t="s">
        <v>45</v>
      </c>
      <c r="D4" s="6" t="s">
        <v>264</v>
      </c>
      <c r="E4" s="6" t="s">
        <v>35</v>
      </c>
      <c r="F4" s="6" t="s">
        <v>36</v>
      </c>
      <c r="G4" s="6" t="s">
        <v>50</v>
      </c>
    </row>
    <row r="5" customFormat="false" ht="30" hidden="false" customHeight="true" outlineLevel="0" collapsed="false">
      <c r="A5" s="15" t="s">
        <v>305</v>
      </c>
      <c r="B5" s="27" t="s">
        <v>306</v>
      </c>
      <c r="C5" s="28" t="n">
        <f aca="false">I5</f>
        <v>64</v>
      </c>
      <c r="D5" s="29" t="n">
        <f aca="false">EXP(N5)</f>
        <v>1.11991893425328</v>
      </c>
      <c r="E5" s="29" t="n">
        <f aca="false">EXP(N5-1.959964*O5)</f>
        <v>1.06270449720111</v>
      </c>
      <c r="F5" s="29" t="n">
        <f aca="false">EXP(N5+1.959964*O5)</f>
        <v>1.18021371190419</v>
      </c>
      <c r="G5" s="30" t="n">
        <f aca="false">MAX(0,(K5-(I5-1))/K5)</f>
        <v>0.505168507093604</v>
      </c>
      <c r="I5" s="0" t="n">
        <v>64</v>
      </c>
      <c r="J5" s="31" t="n">
        <f aca="false">SUMPRODUCT(1/$B$200:$B$263^2,$A$200:$A$263)/SUMPRODUCT(1/$B$200:$B$263^2)</f>
        <v>0.113572096976511</v>
      </c>
      <c r="K5" s="31" t="n">
        <f aca="false">SUMPRODUCT(1/$B$200:$B$263^2,($A$200:$A$263-J5)^2)</f>
        <v>127.316068001188</v>
      </c>
      <c r="L5" s="31" t="n">
        <f aca="false">SUMPRODUCT(1/$B$200:$B$263^2)-SUMPRODUCT(1/$B$200:$B$263^2,1/$B$200:$B$263^2)/SUMPRODUCT(1/$B$200:$B$263^2)</f>
        <v>4575.90030440502</v>
      </c>
      <c r="M5" s="31" t="n">
        <f aca="false">MAX(0,(K5-(I5-1))/L5)</f>
        <v>0.0140553910099994</v>
      </c>
      <c r="N5" s="31" t="n">
        <f aca="false">SUMPRODUCT(1/($B$200:$B$263^2+M5),$A$200:$A$263)/SUMPRODUCT(1/($B$200:$B$263^2+M5))</f>
        <v>0.113256302556433</v>
      </c>
      <c r="O5" s="31" t="n">
        <f aca="false">SQRT(1/SUMPRODUCT(1/($B$200:$B$263^2+M5)))</f>
        <v>0.0267552012718567</v>
      </c>
    </row>
    <row r="6" customFormat="false" ht="30" hidden="false" customHeight="true" outlineLevel="0" collapsed="false">
      <c r="A6" s="15" t="s">
        <v>307</v>
      </c>
      <c r="B6" s="27" t="s">
        <v>308</v>
      </c>
      <c r="C6" s="28" t="n">
        <f aca="false">I6</f>
        <v>57</v>
      </c>
      <c r="D6" s="29" t="n">
        <f aca="false">EXP(N6)</f>
        <v>1.12152738010868</v>
      </c>
      <c r="E6" s="29" t="n">
        <f aca="false">EXP(N6-1.959964*O6)</f>
        <v>1.05940507108945</v>
      </c>
      <c r="F6" s="29" t="n">
        <f aca="false">EXP(N6+1.959964*O6)</f>
        <v>1.18729247070711</v>
      </c>
      <c r="G6" s="30" t="n">
        <f aca="false">MAX(0,(K6-(I6-1))/K6)</f>
        <v>0.505234119598953</v>
      </c>
      <c r="I6" s="0" t="n">
        <v>57</v>
      </c>
      <c r="J6" s="31" t="n">
        <f aca="false">SUMPRODUCT(1/$B$320:$B$376^2,$A$320:$A$376)/SUMPRODUCT(1/$B$320:$B$376^2)</f>
        <v>0.121949754509108</v>
      </c>
      <c r="K6" s="31" t="n">
        <f aca="false">SUMPRODUCT(1/$B$320:$B$376^2,($A$320:$A$376-J6)^2)</f>
        <v>113.184846041945</v>
      </c>
      <c r="L6" s="31" t="n">
        <f aca="false">SUMPRODUCT(1/$B$320:$B$376^2)-SUMPRODUCT(1/$B$320:$B$376^2,1/$B$320:$B$376^2)/SUMPRODUCT(1/$B$320:$B$376^2)</f>
        <v>3744.04730151086</v>
      </c>
      <c r="M6" s="31" t="n">
        <f aca="false">MAX(0,(K6-(I6-1))/L6)</f>
        <v>0.0152735372811313</v>
      </c>
      <c r="N6" s="31" t="n">
        <f aca="false">SUMPRODUCT(1/($B$320:$B$376^2+M6),$A$320:$A$376)/SUMPRODUCT(1/($B$320:$B$376^2+M6))</f>
        <v>0.114691488508628</v>
      </c>
      <c r="O6" s="31" t="n">
        <f aca="false">SQRT(1/SUMPRODUCT(1/($B$320:$B$376^2+M6)))</f>
        <v>0.0290739991324635</v>
      </c>
    </row>
    <row r="7" customFormat="false" ht="15" hidden="false" customHeight="false" outlineLevel="0" collapsed="false">
      <c r="A7" s="15" t="s">
        <v>309</v>
      </c>
      <c r="B7" s="32" t="s">
        <v>310</v>
      </c>
      <c r="C7" s="28" t="n">
        <f aca="false">I7</f>
        <v>18</v>
      </c>
      <c r="D7" s="29" t="n">
        <f aca="false">EXP(N7)</f>
        <v>1.10525367871081</v>
      </c>
      <c r="E7" s="29" t="n">
        <f aca="false">EXP(N7-1.959964*O7)</f>
        <v>1.03275186748933</v>
      </c>
      <c r="F7" s="29" t="n">
        <f aca="false">EXP(N7+1.959964*O7)</f>
        <v>1.18284530172143</v>
      </c>
      <c r="G7" s="30" t="n">
        <f aca="false">MAX(0,(K7-(I7-1))/K7)</f>
        <v>0.383223867872286</v>
      </c>
      <c r="I7" s="31" t="n">
        <f aca="false">SUMPRODUCT(--($B$400:$B$419&lt;&gt;""))</f>
        <v>18</v>
      </c>
      <c r="J7" s="31" t="n">
        <f aca="false">SUMPRODUCT(IF($B$400:$B$419="",0,1/$B$400:$B$419^2),IF($A$400:$A$419="",0,$A$400:$A$419))/SUMPRODUCT(IF($B$400:$B$419="",0,1/$B$400:$B$419^2))</f>
        <v>0.119969315902856</v>
      </c>
      <c r="K7" s="31" t="n">
        <f aca="false">SUMPRODUCT(IF($B$400:$B$419="",0,1/$B$400:$B$419^2),(IF($A$400:$A$419="",0,$A$400:$A$419)-J7)^2)</f>
        <v>27.5626748741955</v>
      </c>
      <c r="L7" s="31" t="n">
        <f aca="false">SUMPRODUCT(IF($B$400:$B$419="",0,1/$B$400:$B$419^2))-SUMPRODUCT(IF($B$400:$B$419="",0,1/$B$400:$B$419^2),IF($B$400:$B$419="",0,1/$B$400:$B$419^2))/SUMPRODUCT(IF($B$400:$B$419="",0,1/$B$400:$B$419^2))</f>
        <v>1912.91571151125</v>
      </c>
      <c r="M7" s="31" t="n">
        <f aca="false">MAX(0,(K7-(I7-1))/L7)</f>
        <v>0.00552176701285529</v>
      </c>
      <c r="N7" s="31" t="n">
        <f aca="false">SUMPRODUCT(IF($B$400:$B$419="",0,1/($B$400:$B$419^2+M7)),IF($A$400:$A$419="",0,$A$400:$A$419))/SUMPRODUCT(IF($B$400:$B$419="",0,1/($B$400:$B$419^2+M7)))</f>
        <v>0.100074882115703</v>
      </c>
      <c r="O7" s="31" t="n">
        <f aca="false">SQRT(1/SUMPRODUCT(IF($B$400:$B$419="",0,1/($B$400:$B$419^2+M7))))</f>
        <v>0.0346169248792681</v>
      </c>
    </row>
    <row r="9" customFormat="false" ht="55.5" hidden="false" customHeight="true" outlineLevel="0" collapsed="false">
      <c r="A9" s="20" t="s">
        <v>311</v>
      </c>
      <c r="B9" s="20"/>
      <c r="C9" s="20"/>
      <c r="D9" s="20"/>
      <c r="E9" s="20"/>
      <c r="F9" s="20"/>
      <c r="G9" s="20"/>
    </row>
    <row r="198" customFormat="false" ht="15" hidden="false" customHeight="false" outlineLevel="0" collapsed="false">
      <c r="A198" s="33" t="s">
        <v>312</v>
      </c>
    </row>
    <row r="200" customFormat="false" ht="15" hidden="false" customHeight="false" outlineLevel="0" collapsed="false">
      <c r="A200" s="34" t="n">
        <f aca="false">'Study multipliers'!N4</f>
        <v>0.148420005118273</v>
      </c>
      <c r="B200" s="34" t="n">
        <f aca="false">'Study multipliers'!O4</f>
        <v>0.0525142436810443</v>
      </c>
    </row>
    <row r="201" customFormat="false" ht="15" hidden="false" customHeight="false" outlineLevel="0" collapsed="false">
      <c r="A201" s="34" t="n">
        <f aca="false">'Study multipliers'!N7</f>
        <v>0.405465108108164</v>
      </c>
      <c r="B201" s="34" t="n">
        <f aca="false">'Study multipliers'!O7</f>
        <v>1.28176553656817</v>
      </c>
    </row>
    <row r="202" customFormat="false" ht="15" hidden="false" customHeight="false" outlineLevel="0" collapsed="false">
      <c r="A202" s="34" t="n">
        <f aca="false">'Study multipliers'!N8</f>
        <v>0.182321556793955</v>
      </c>
      <c r="B202" s="34" t="n">
        <f aca="false">'Study multipliers'!O8</f>
        <v>0.0646565194078919</v>
      </c>
    </row>
    <row r="203" customFormat="false" ht="15" hidden="false" customHeight="false" outlineLevel="0" collapsed="false">
      <c r="A203" s="34" t="n">
        <f aca="false">'Study multipliers'!N9</f>
        <v>0.0198026272961797</v>
      </c>
      <c r="B203" s="34" t="n">
        <f aca="false">'Study multipliers'!O9</f>
        <v>0.254297934645271</v>
      </c>
    </row>
    <row r="204" customFormat="false" ht="15" hidden="false" customHeight="false" outlineLevel="0" collapsed="false">
      <c r="A204" s="34" t="n">
        <f aca="false">'Study multipliers'!N10</f>
        <v>-0.127833371509885</v>
      </c>
      <c r="B204" s="34" t="n">
        <f aca="false">'Study multipliers'!O10</f>
        <v>0.205428385082749</v>
      </c>
    </row>
    <row r="205" customFormat="false" ht="15" hidden="false" customHeight="false" outlineLevel="0" collapsed="false">
      <c r="A205" s="34" t="n">
        <f aca="false">'Study multipliers'!N11</f>
        <v>0.182321556793955</v>
      </c>
      <c r="B205" s="34" t="n">
        <f aca="false">'Study multipliers'!O11</f>
        <v>0.430211716534138</v>
      </c>
    </row>
    <row r="206" customFormat="false" ht="15" hidden="false" customHeight="false" outlineLevel="0" collapsed="false">
      <c r="A206" s="34" t="n">
        <f aca="false">'Study multipliers'!N12</f>
        <v>0.0198026272961797</v>
      </c>
      <c r="B206" s="34" t="n">
        <f aca="false">'Study multipliers'!O12</f>
        <v>0.0451362137669565</v>
      </c>
    </row>
    <row r="207" customFormat="false" ht="15" hidden="false" customHeight="false" outlineLevel="0" collapsed="false">
      <c r="A207" s="34" t="n">
        <f aca="false">'Study multipliers'!N13</f>
        <v>0.131028262406404</v>
      </c>
      <c r="B207" s="34" t="n">
        <f aca="false">'Study multipliers'!O13</f>
        <v>0.0469199531626419</v>
      </c>
    </row>
    <row r="208" customFormat="false" ht="15" hidden="false" customHeight="false" outlineLevel="0" collapsed="false">
      <c r="A208" s="34" t="n">
        <f aca="false">'Study multipliers'!N19</f>
        <v>0.0487901641694321</v>
      </c>
      <c r="B208" s="34" t="n">
        <f aca="false">'Study multipliers'!O19</f>
        <v>0.0684359474446162</v>
      </c>
    </row>
    <row r="209" customFormat="false" ht="15" hidden="false" customHeight="false" outlineLevel="0" collapsed="false">
      <c r="A209" s="34" t="n">
        <f aca="false">'Study multipliers'!N20</f>
        <v>0.182321556793955</v>
      </c>
      <c r="B209" s="34" t="n">
        <f aca="false">'Study multipliers'!O20</f>
        <v>0.38370026101915</v>
      </c>
    </row>
    <row r="210" customFormat="false" ht="15" hidden="false" customHeight="false" outlineLevel="0" collapsed="false">
      <c r="A210" s="34" t="n">
        <f aca="false">'Study multipliers'!N26</f>
        <v>0.139761942375159</v>
      </c>
      <c r="B210" s="34" t="n">
        <f aca="false">'Study multipliers'!O26</f>
        <v>0.0682873271511904</v>
      </c>
    </row>
    <row r="211" customFormat="false" ht="15" hidden="false" customHeight="false" outlineLevel="0" collapsed="false">
      <c r="A211" s="34" t="n">
        <f aca="false">'Study multipliers'!N27</f>
        <v>0.148420005118273</v>
      </c>
      <c r="B211" s="34" t="n">
        <f aca="false">'Study multipliers'!O27</f>
        <v>0.056925420904213</v>
      </c>
    </row>
    <row r="212" customFormat="false" ht="15" hidden="false" customHeight="false" outlineLevel="0" collapsed="false">
      <c r="A212" s="34" t="n">
        <f aca="false">'Study multipliers'!N28</f>
        <v>0.148420005118273</v>
      </c>
      <c r="B212" s="34" t="n">
        <f aca="false">'Study multipliers'!O28</f>
        <v>0.056925420904213</v>
      </c>
    </row>
    <row r="213" customFormat="false" ht="15" hidden="false" customHeight="false" outlineLevel="0" collapsed="false">
      <c r="A213" s="34" t="n">
        <f aca="false">'Study multipliers'!N29</f>
        <v>0.182321556793955</v>
      </c>
      <c r="B213" s="34" t="n">
        <f aca="false">'Study multipliers'!O29</f>
        <v>0.192292256994613</v>
      </c>
    </row>
    <row r="214" customFormat="false" ht="15" hidden="false" customHeight="false" outlineLevel="0" collapsed="false">
      <c r="A214" s="34" t="n">
        <f aca="false">'Study multipliers'!N30</f>
        <v>0.418710334858185</v>
      </c>
      <c r="B214" s="34" t="n">
        <f aca="false">'Study multipliers'!O30</f>
        <v>0.103436876419201</v>
      </c>
    </row>
    <row r="215" customFormat="false" ht="15" hidden="false" customHeight="false" outlineLevel="0" collapsed="false">
      <c r="A215" s="34" t="n">
        <f aca="false">'Study multipliers'!N31</f>
        <v>1.03673688495002</v>
      </c>
      <c r="B215" s="34" t="n">
        <f aca="false">'Study multipliers'!O31</f>
        <v>0.491969096009707</v>
      </c>
    </row>
    <row r="216" customFormat="false" ht="15" hidden="false" customHeight="false" outlineLevel="0" collapsed="false">
      <c r="A216" s="34" t="n">
        <f aca="false">'Study multipliers'!N33</f>
        <v>-0.0304592074847086</v>
      </c>
      <c r="B216" s="34" t="n">
        <f aca="false">'Study multipliers'!O33</f>
        <v>0.132347786340761</v>
      </c>
    </row>
    <row r="217" customFormat="false" ht="15" hidden="false" customHeight="false" outlineLevel="0" collapsed="false">
      <c r="A217" s="34" t="n">
        <f aca="false">'Study multipliers'!N34</f>
        <v>0.307484699747961</v>
      </c>
      <c r="B217" s="34" t="n">
        <f aca="false">'Study multipliers'!O34</f>
        <v>0.115733556821973</v>
      </c>
    </row>
    <row r="218" customFormat="false" ht="15" hidden="false" customHeight="false" outlineLevel="0" collapsed="false">
      <c r="A218" s="34" t="n">
        <f aca="false">'Study multipliers'!N35</f>
        <v>0.451075619360217</v>
      </c>
      <c r="B218" s="34" t="n">
        <f aca="false">'Study multipliers'!O35</f>
        <v>0.24355501147165</v>
      </c>
    </row>
    <row r="219" customFormat="false" ht="15" hidden="false" customHeight="false" outlineLevel="0" collapsed="false">
      <c r="A219" s="34" t="n">
        <f aca="false">'Study multipliers'!N38</f>
        <v>0.131028262406404</v>
      </c>
      <c r="B219" s="34" t="n">
        <f aca="false">'Study multipliers'!O38</f>
        <v>0.0379459166750895</v>
      </c>
    </row>
    <row r="220" customFormat="false" ht="15" hidden="false" customHeight="false" outlineLevel="0" collapsed="false">
      <c r="A220" s="34" t="n">
        <f aca="false">'Study multipliers'!N39</f>
        <v>0.00995033085316809</v>
      </c>
      <c r="B220" s="34" t="n">
        <f aca="false">'Study multipliers'!O39</f>
        <v>0.19100275099817</v>
      </c>
    </row>
    <row r="221" customFormat="false" ht="15" hidden="false" customHeight="false" outlineLevel="0" collapsed="false">
      <c r="A221" s="34" t="n">
        <f aca="false">'Study multipliers'!N40</f>
        <v>-0.0202027073175195</v>
      </c>
      <c r="B221" s="34" t="n">
        <f aca="false">'Study multipliers'!O40</f>
        <v>0.0853968703786821</v>
      </c>
    </row>
    <row r="222" customFormat="false" ht="15" hidden="false" customHeight="false" outlineLevel="0" collapsed="false">
      <c r="A222" s="34" t="n">
        <f aca="false">'Study multipliers'!N45</f>
        <v>-0.0100503358535015</v>
      </c>
      <c r="B222" s="34" t="n">
        <f aca="false">'Study multipliers'!O45</f>
        <v>0.217287718227627</v>
      </c>
    </row>
    <row r="223" customFormat="false" ht="15" hidden="false" customHeight="false" outlineLevel="0" collapsed="false">
      <c r="A223" s="34" t="n">
        <f aca="false">'Study multipliers'!N46</f>
        <v>0.165514438477573</v>
      </c>
      <c r="B223" s="34" t="n">
        <f aca="false">'Study multipliers'!O46</f>
        <v>0.417355864653336</v>
      </c>
    </row>
    <row r="224" customFormat="false" ht="15" hidden="false" customHeight="false" outlineLevel="0" collapsed="false">
      <c r="A224" s="34" t="n">
        <f aca="false">'Study multipliers'!N47</f>
        <v>0.0953101798043249</v>
      </c>
      <c r="B224" s="34" t="n">
        <f aca="false">'Study multipliers'!O47</f>
        <v>0.0713887844344986</v>
      </c>
    </row>
    <row r="225" customFormat="false" ht="15" hidden="false" customHeight="false" outlineLevel="0" collapsed="false">
      <c r="A225" s="34" t="n">
        <f aca="false">'Study multipliers'!N48</f>
        <v>-0.653926467406664</v>
      </c>
      <c r="B225" s="34" t="n">
        <f aca="false">'Study multipliers'!O48</f>
        <v>0.436992360924726</v>
      </c>
    </row>
    <row r="226" customFormat="false" ht="15" hidden="false" customHeight="false" outlineLevel="0" collapsed="false">
      <c r="A226" s="34" t="n">
        <f aca="false">'Study multipliers'!N53</f>
        <v>0.405465108108164</v>
      </c>
      <c r="B226" s="34" t="n">
        <f aca="false">'Study multipliers'!O53</f>
        <v>0.220251068494067</v>
      </c>
    </row>
    <row r="227" customFormat="false" ht="15" hidden="false" customHeight="false" outlineLevel="0" collapsed="false">
      <c r="A227" s="34" t="n">
        <f aca="false">'Study multipliers'!N54</f>
        <v>0.672944473242426</v>
      </c>
      <c r="B227" s="34" t="n">
        <f aca="false">'Study multipliers'!O54</f>
        <v>0.167615878638033</v>
      </c>
    </row>
    <row r="228" customFormat="false" ht="15" hidden="false" customHeight="false" outlineLevel="0" collapsed="false">
      <c r="A228" s="34" t="n">
        <f aca="false">'Study multipliers'!N55</f>
        <v>0.0392207131532813</v>
      </c>
      <c r="B228" s="34" t="n">
        <f aca="false">'Study multipliers'!O55</f>
        <v>0.281676721879515</v>
      </c>
    </row>
    <row r="229" customFormat="false" ht="15" hidden="false" customHeight="false" outlineLevel="0" collapsed="false">
      <c r="A229" s="34" t="n">
        <f aca="false">'Study multipliers'!N56</f>
        <v>0.392042087776024</v>
      </c>
      <c r="B229" s="34" t="n">
        <f aca="false">'Study multipliers'!O56</f>
        <v>0.244609172998318</v>
      </c>
    </row>
    <row r="230" customFormat="false" ht="15" hidden="false" customHeight="false" outlineLevel="0" collapsed="false">
      <c r="A230" s="34" t="n">
        <f aca="false">'Study multipliers'!N57</f>
        <v>-0.693147180559945</v>
      </c>
      <c r="B230" s="34" t="n">
        <f aca="false">'Study multipliers'!O57</f>
        <v>0.176826508180749</v>
      </c>
    </row>
    <row r="231" customFormat="false" ht="15" hidden="false" customHeight="false" outlineLevel="0" collapsed="false">
      <c r="A231" s="34" t="n">
        <f aca="false">'Study multipliers'!N58</f>
        <v>0.887891257352457</v>
      </c>
      <c r="B231" s="34" t="n">
        <f aca="false">'Study multipliers'!O58</f>
        <v>0.449397649920449</v>
      </c>
    </row>
    <row r="232" customFormat="false" ht="15" hidden="false" customHeight="false" outlineLevel="0" collapsed="false">
      <c r="A232" s="34" t="n">
        <f aca="false">'Study multipliers'!N59</f>
        <v>0.0582689081239758</v>
      </c>
      <c r="B232" s="34" t="n">
        <f aca="false">'Study multipliers'!O59</f>
        <v>0.132791836455402</v>
      </c>
    </row>
    <row r="233" customFormat="false" ht="15" hidden="false" customHeight="false" outlineLevel="0" collapsed="false">
      <c r="A233" s="34" t="n">
        <f aca="false">'Study multipliers'!N64</f>
        <v>0.832909122935104</v>
      </c>
      <c r="B233" s="34" t="n">
        <f aca="false">'Study multipliers'!O64</f>
        <v>0.325591048076792</v>
      </c>
    </row>
    <row r="234" customFormat="false" ht="15" hidden="false" customHeight="false" outlineLevel="0" collapsed="false">
      <c r="A234" s="34" t="n">
        <f aca="false">'Study multipliers'!N65</f>
        <v>-0.139262067333508</v>
      </c>
      <c r="B234" s="34" t="n">
        <f aca="false">'Study multipliers'!O65</f>
        <v>0.478661051237706</v>
      </c>
    </row>
    <row r="235" customFormat="false" ht="15" hidden="false" customHeight="false" outlineLevel="0" collapsed="false">
      <c r="A235" s="34" t="n">
        <f aca="false">'Study multipliers'!N66</f>
        <v>-0.116533816255952</v>
      </c>
      <c r="B235" s="34" t="n">
        <f aca="false">'Study multipliers'!O66</f>
        <v>0.227407918027102</v>
      </c>
    </row>
    <row r="236" customFormat="false" ht="15" hidden="false" customHeight="false" outlineLevel="0" collapsed="false">
      <c r="A236" s="34" t="n">
        <f aca="false">'Study multipliers'!N67</f>
        <v>0.0582689081239758</v>
      </c>
      <c r="B236" s="34" t="n">
        <f aca="false">'Study multipliers'!O67</f>
        <v>0.472793725350947</v>
      </c>
    </row>
    <row r="237" customFormat="false" ht="15" hidden="false" customHeight="false" outlineLevel="0" collapsed="false">
      <c r="A237" s="34" t="n">
        <f aca="false">'Study multipliers'!N73</f>
        <v>-2.30258509299405</v>
      </c>
      <c r="B237" s="34" t="n">
        <f aca="false">'Study multipliers'!O73</f>
        <v>1.76221483633938</v>
      </c>
    </row>
    <row r="238" customFormat="false" ht="15" hidden="false" customHeight="false" outlineLevel="0" collapsed="false">
      <c r="A238" s="34" t="n">
        <f aca="false">'Study multipliers'!N74</f>
        <v>0.0392207131532813</v>
      </c>
      <c r="B238" s="34" t="n">
        <f aca="false">'Study multipliers'!O74</f>
        <v>0.102434491135622</v>
      </c>
    </row>
    <row r="239" customFormat="false" ht="15" hidden="false" customHeight="false" outlineLevel="0" collapsed="false">
      <c r="A239" s="34" t="n">
        <f aca="false">'Study multipliers'!N75</f>
        <v>0.336472236621213</v>
      </c>
      <c r="B239" s="34" t="n">
        <f aca="false">'Study multipliers'!O75</f>
        <v>1.27824676731212</v>
      </c>
    </row>
    <row r="240" customFormat="false" ht="15" hidden="false" customHeight="false" outlineLevel="0" collapsed="false">
      <c r="A240" s="34" t="n">
        <f aca="false">'Study multipliers'!N76</f>
        <v>-0.22314355131421</v>
      </c>
      <c r="B240" s="34" t="n">
        <f aca="false">'Study multipliers'!O76</f>
        <v>0.337188805504162</v>
      </c>
    </row>
    <row r="241" customFormat="false" ht="15" hidden="false" customHeight="false" outlineLevel="0" collapsed="false">
      <c r="A241" s="34" t="n">
        <f aca="false">'Study multipliers'!N77</f>
        <v>0</v>
      </c>
      <c r="B241" s="34" t="n">
        <f aca="false">'Study multipliers'!O77</f>
        <v>0.252298655396448</v>
      </c>
    </row>
    <row r="242" customFormat="false" ht="15" hidden="false" customHeight="false" outlineLevel="0" collapsed="false">
      <c r="A242" s="34" t="n">
        <f aca="false">'Study multipliers'!N79</f>
        <v>0.262364264467491</v>
      </c>
      <c r="B242" s="34" t="n">
        <f aca="false">'Study multipliers'!O79</f>
        <v>0.334747574181508</v>
      </c>
    </row>
    <row r="243" customFormat="false" ht="15" hidden="false" customHeight="false" outlineLevel="0" collapsed="false">
      <c r="A243" s="34" t="n">
        <f aca="false">'Study multipliers'!N80</f>
        <v>0.336472236621213</v>
      </c>
      <c r="B243" s="34" t="n">
        <f aca="false">'Study multipliers'!O80</f>
        <v>0.138295122549975</v>
      </c>
    </row>
    <row r="244" customFormat="false" ht="15" hidden="false" customHeight="false" outlineLevel="0" collapsed="false">
      <c r="A244" s="34" t="n">
        <f aca="false">'Study multipliers'!N85</f>
        <v>0.0487901641694321</v>
      </c>
      <c r="B244" s="34" t="n">
        <f aca="false">'Study multipliers'!O85</f>
        <v>0.0846049202620296</v>
      </c>
    </row>
    <row r="245" customFormat="false" ht="15" hidden="false" customHeight="false" outlineLevel="0" collapsed="false">
      <c r="A245" s="34" t="n">
        <f aca="false">'Study multipliers'!N87</f>
        <v>-1.20397280432594</v>
      </c>
      <c r="B245" s="34" t="n">
        <f aca="false">'Study multipliers'!O87</f>
        <v>0.560526769199898</v>
      </c>
    </row>
    <row r="246" customFormat="false" ht="15" hidden="false" customHeight="false" outlineLevel="0" collapsed="false">
      <c r="A246" s="34" t="n">
        <f aca="false">'Study multipliers'!N90</f>
        <v>-0.510825623765991</v>
      </c>
      <c r="B246" s="34" t="n">
        <f aca="false">'Study multipliers'!O90</f>
        <v>0.331455828813759</v>
      </c>
    </row>
    <row r="247" customFormat="false" ht="15" hidden="false" customHeight="false" outlineLevel="0" collapsed="false">
      <c r="A247" s="34" t="n">
        <f aca="false">'Study multipliers'!N92</f>
        <v>0.693147180559945</v>
      </c>
      <c r="B247" s="34" t="n">
        <f aca="false">'Study multipliers'!O92</f>
        <v>0.302460572147687</v>
      </c>
    </row>
    <row r="248" customFormat="false" ht="15" hidden="false" customHeight="false" outlineLevel="0" collapsed="false">
      <c r="A248" s="34" t="n">
        <f aca="false">'Study multipliers'!N93</f>
        <v>0.182321556793955</v>
      </c>
      <c r="B248" s="34" t="n">
        <f aca="false">'Study multipliers'!O93</f>
        <v>0.331455828813759</v>
      </c>
    </row>
    <row r="249" customFormat="false" ht="15" hidden="false" customHeight="false" outlineLevel="0" collapsed="false">
      <c r="A249" s="34" t="n">
        <f aca="false">'Study multipliers'!N94</f>
        <v>-0.342490308946776</v>
      </c>
      <c r="B249" s="34" t="n">
        <f aca="false">'Study multipliers'!O94</f>
        <v>0.303186338573048</v>
      </c>
    </row>
    <row r="250" customFormat="false" ht="15" hidden="false" customHeight="false" outlineLevel="0" collapsed="false">
      <c r="A250" s="34" t="n">
        <f aca="false">'Study multipliers'!N99</f>
        <v>-0.105360515657826</v>
      </c>
      <c r="B250" s="34" t="n">
        <f aca="false">'Study multipliers'!O99</f>
        <v>0.312193344271149</v>
      </c>
    </row>
    <row r="251" customFormat="false" ht="15" hidden="false" customHeight="false" outlineLevel="0" collapsed="false">
      <c r="A251" s="34" t="n">
        <f aca="false">'Study multipliers'!N100</f>
        <v>0.0769610411361284</v>
      </c>
      <c r="B251" s="34" t="n">
        <f aca="false">'Study multipliers'!O100</f>
        <v>0.148170577517247</v>
      </c>
    </row>
    <row r="252" customFormat="false" ht="15" hidden="false" customHeight="false" outlineLevel="0" collapsed="false">
      <c r="A252" s="34" t="n">
        <f aca="false">'Study multipliers'!N101</f>
        <v>0</v>
      </c>
      <c r="B252" s="34" t="n">
        <f aca="false">'Study multipliers'!O101</f>
        <v>0.103436876419201</v>
      </c>
    </row>
    <row r="253" customFormat="false" ht="15" hidden="false" customHeight="false" outlineLevel="0" collapsed="false">
      <c r="A253" s="34" t="n">
        <f aca="false">'Study multipliers'!N106</f>
        <v>-0.385662480811985</v>
      </c>
      <c r="B253" s="34" t="n">
        <f aca="false">'Study multipliers'!O106</f>
        <v>0.46938657318347</v>
      </c>
    </row>
    <row r="254" customFormat="false" ht="15" hidden="false" customHeight="false" outlineLevel="0" collapsed="false">
      <c r="A254" s="34" t="n">
        <f aca="false">'Study multipliers'!N108</f>
        <v>-0.083381608939051</v>
      </c>
      <c r="B254" s="34" t="n">
        <f aca="false">'Study multipliers'!O108</f>
        <v>0.291461088628499</v>
      </c>
    </row>
    <row r="255" customFormat="false" ht="15" hidden="false" customHeight="false" outlineLevel="0" collapsed="false">
      <c r="A255" s="34" t="n">
        <f aca="false">'Study multipliers'!N113</f>
        <v>0.76080582903376</v>
      </c>
      <c r="B255" s="34" t="n">
        <f aca="false">'Study multipliers'!O113</f>
        <v>0.255556342534402</v>
      </c>
    </row>
    <row r="256" customFormat="false" ht="15" hidden="false" customHeight="false" outlineLevel="0" collapsed="false">
      <c r="A256" s="34" t="n">
        <f aca="false">'Study multipliers'!N114</f>
        <v>0.708035793053696</v>
      </c>
      <c r="B256" s="34" t="n">
        <f aca="false">'Study multipliers'!O114</f>
        <v>0.35554037436436</v>
      </c>
    </row>
    <row r="257" customFormat="false" ht="15" hidden="false" customHeight="false" outlineLevel="0" collapsed="false">
      <c r="A257" s="34" t="n">
        <f aca="false">'Study multipliers'!N119</f>
        <v>-0.430782916092454</v>
      </c>
      <c r="B257" s="34" t="n">
        <f aca="false">'Study multipliers'!O119</f>
        <v>0.248616719490289</v>
      </c>
    </row>
    <row r="258" customFormat="false" ht="15" hidden="false" customHeight="false" outlineLevel="0" collapsed="false">
      <c r="A258" s="34" t="n">
        <f aca="false">'Study multipliers'!N125</f>
        <v>0.0582689081239758</v>
      </c>
      <c r="B258" s="34" t="n">
        <f aca="false">'Study multipliers'!O125</f>
        <v>0.170023258967457</v>
      </c>
    </row>
    <row r="259" customFormat="false" ht="15" hidden="false" customHeight="false" outlineLevel="0" collapsed="false">
      <c r="A259" s="34" t="n">
        <f aca="false">'Study multipliers'!N130</f>
        <v>0.779324876800998</v>
      </c>
      <c r="B259" s="34" t="n">
        <f aca="false">'Study multipliers'!O130</f>
        <v>0.494209856124728</v>
      </c>
    </row>
    <row r="260" customFormat="false" ht="15" hidden="false" customHeight="false" outlineLevel="0" collapsed="false">
      <c r="A260" s="34" t="n">
        <f aca="false">'Study multipliers'!N135</f>
        <v>-0.186329578191493</v>
      </c>
      <c r="B260" s="34" t="n">
        <f aca="false">'Study multipliers'!O135</f>
        <v>0.211470394792712</v>
      </c>
    </row>
    <row r="261" customFormat="false" ht="15" hidden="false" customHeight="false" outlineLevel="0" collapsed="false">
      <c r="A261" s="34" t="n">
        <f aca="false">'Study multipliers'!N140</f>
        <v>-0.083381608939051</v>
      </c>
      <c r="B261" s="34" t="n">
        <f aca="false">'Study multipliers'!O140</f>
        <v>0.224057588224973</v>
      </c>
    </row>
    <row r="262" customFormat="false" ht="15" hidden="false" customHeight="false" outlineLevel="0" collapsed="false">
      <c r="A262" s="34" t="n">
        <f aca="false">'Study multipliers'!N145</f>
        <v>0.683096844706444</v>
      </c>
      <c r="B262" s="34" t="n">
        <f aca="false">'Study multipliers'!O145</f>
        <v>0.298172963212936</v>
      </c>
    </row>
    <row r="263" customFormat="false" ht="15" hidden="false" customHeight="false" outlineLevel="0" collapsed="false">
      <c r="A263" s="34" t="n">
        <f aca="false">'Study multipliers'!N150</f>
        <v>0.53062825106217</v>
      </c>
      <c r="B263" s="34" t="n">
        <f aca="false">'Study multipliers'!O150</f>
        <v>0.422696602187363</v>
      </c>
    </row>
    <row r="320" customFormat="false" ht="15" hidden="false" customHeight="false" outlineLevel="0" collapsed="false">
      <c r="A320" s="34" t="n">
        <f aca="false">'Study multipliers'!N4</f>
        <v>0.148420005118273</v>
      </c>
      <c r="B320" s="34" t="n">
        <f aca="false">'Study multipliers'!O4</f>
        <v>0.0525142436810443</v>
      </c>
    </row>
    <row r="321" customFormat="false" ht="15" hidden="false" customHeight="false" outlineLevel="0" collapsed="false">
      <c r="A321" s="34" t="n">
        <f aca="false">'Study multipliers'!N7</f>
        <v>0.405465108108164</v>
      </c>
      <c r="B321" s="34" t="n">
        <f aca="false">'Study multipliers'!O7</f>
        <v>1.28176553656817</v>
      </c>
    </row>
    <row r="322" customFormat="false" ht="15" hidden="false" customHeight="false" outlineLevel="0" collapsed="false">
      <c r="A322" s="34" t="n">
        <f aca="false">'Study multipliers'!N8</f>
        <v>0.182321556793955</v>
      </c>
      <c r="B322" s="34" t="n">
        <f aca="false">'Study multipliers'!O8</f>
        <v>0.0646565194078919</v>
      </c>
    </row>
    <row r="323" customFormat="false" ht="15" hidden="false" customHeight="false" outlineLevel="0" collapsed="false">
      <c r="A323" s="34" t="n">
        <f aca="false">'Study multipliers'!N9</f>
        <v>0.0198026272961797</v>
      </c>
      <c r="B323" s="34" t="n">
        <f aca="false">'Study multipliers'!O9</f>
        <v>0.254297934645271</v>
      </c>
    </row>
    <row r="324" customFormat="false" ht="15" hidden="false" customHeight="false" outlineLevel="0" collapsed="false">
      <c r="A324" s="34" t="n">
        <f aca="false">'Study multipliers'!N10</f>
        <v>-0.127833371509885</v>
      </c>
      <c r="B324" s="34" t="n">
        <f aca="false">'Study multipliers'!O10</f>
        <v>0.205428385082749</v>
      </c>
    </row>
    <row r="325" customFormat="false" ht="15" hidden="false" customHeight="false" outlineLevel="0" collapsed="false">
      <c r="A325" s="34" t="n">
        <f aca="false">'Study multipliers'!N11</f>
        <v>0.182321556793955</v>
      </c>
      <c r="B325" s="34" t="n">
        <f aca="false">'Study multipliers'!O11</f>
        <v>0.430211716534138</v>
      </c>
    </row>
    <row r="326" customFormat="false" ht="15" hidden="false" customHeight="false" outlineLevel="0" collapsed="false">
      <c r="A326" s="34" t="n">
        <f aca="false">'Study multipliers'!N13</f>
        <v>0.131028262406404</v>
      </c>
      <c r="B326" s="34" t="n">
        <f aca="false">'Study multipliers'!O13</f>
        <v>0.0469199531626419</v>
      </c>
    </row>
    <row r="327" customFormat="false" ht="15" hidden="false" customHeight="false" outlineLevel="0" collapsed="false">
      <c r="A327" s="34" t="n">
        <f aca="false">'Study multipliers'!N19</f>
        <v>0.0487901641694321</v>
      </c>
      <c r="B327" s="34" t="n">
        <f aca="false">'Study multipliers'!O19</f>
        <v>0.0684359474446162</v>
      </c>
    </row>
    <row r="328" customFormat="false" ht="15" hidden="false" customHeight="false" outlineLevel="0" collapsed="false">
      <c r="A328" s="34" t="n">
        <f aca="false">'Study multipliers'!N20</f>
        <v>0.182321556793955</v>
      </c>
      <c r="B328" s="34" t="n">
        <f aca="false">'Study multipliers'!O20</f>
        <v>0.38370026101915</v>
      </c>
    </row>
    <row r="329" customFormat="false" ht="15" hidden="false" customHeight="false" outlineLevel="0" collapsed="false">
      <c r="A329" s="34" t="n">
        <f aca="false">'Study multipliers'!N26</f>
        <v>0.139761942375159</v>
      </c>
      <c r="B329" s="34" t="n">
        <f aca="false">'Study multipliers'!O26</f>
        <v>0.0682873271511904</v>
      </c>
    </row>
    <row r="330" customFormat="false" ht="15" hidden="false" customHeight="false" outlineLevel="0" collapsed="false">
      <c r="A330" s="34" t="n">
        <f aca="false">'Study multipliers'!N27</f>
        <v>0.148420005118273</v>
      </c>
      <c r="B330" s="34" t="n">
        <f aca="false">'Study multipliers'!O27</f>
        <v>0.056925420904213</v>
      </c>
    </row>
    <row r="331" customFormat="false" ht="15" hidden="false" customHeight="false" outlineLevel="0" collapsed="false">
      <c r="A331" s="34" t="n">
        <f aca="false">'Study multipliers'!N29</f>
        <v>0.182321556793955</v>
      </c>
      <c r="B331" s="34" t="n">
        <f aca="false">'Study multipliers'!O29</f>
        <v>0.192292256994613</v>
      </c>
    </row>
    <row r="332" customFormat="false" ht="15" hidden="false" customHeight="false" outlineLevel="0" collapsed="false">
      <c r="A332" s="34" t="n">
        <f aca="false">'Study multipliers'!N30</f>
        <v>0.418710334858185</v>
      </c>
      <c r="B332" s="34" t="n">
        <f aca="false">'Study multipliers'!O30</f>
        <v>0.103436876419201</v>
      </c>
    </row>
    <row r="333" customFormat="false" ht="15" hidden="false" customHeight="false" outlineLevel="0" collapsed="false">
      <c r="A333" s="34" t="n">
        <f aca="false">'Study multipliers'!N31</f>
        <v>1.03673688495002</v>
      </c>
      <c r="B333" s="34" t="n">
        <f aca="false">'Study multipliers'!O31</f>
        <v>0.491969096009707</v>
      </c>
    </row>
    <row r="334" customFormat="false" ht="15" hidden="false" customHeight="false" outlineLevel="0" collapsed="false">
      <c r="A334" s="34" t="n">
        <f aca="false">'Study multipliers'!N33</f>
        <v>-0.0304592074847086</v>
      </c>
      <c r="B334" s="34" t="n">
        <f aca="false">'Study multipliers'!O33</f>
        <v>0.132347786340761</v>
      </c>
    </row>
    <row r="335" customFormat="false" ht="15" hidden="false" customHeight="false" outlineLevel="0" collapsed="false">
      <c r="A335" s="34" t="n">
        <f aca="false">'Study multipliers'!N34</f>
        <v>0.307484699747961</v>
      </c>
      <c r="B335" s="34" t="n">
        <f aca="false">'Study multipliers'!O34</f>
        <v>0.115733556821973</v>
      </c>
    </row>
    <row r="336" customFormat="false" ht="15" hidden="false" customHeight="false" outlineLevel="0" collapsed="false">
      <c r="A336" s="34" t="n">
        <f aca="false">'Study multipliers'!N35</f>
        <v>0.451075619360217</v>
      </c>
      <c r="B336" s="34" t="n">
        <f aca="false">'Study multipliers'!O35</f>
        <v>0.24355501147165</v>
      </c>
    </row>
    <row r="337" customFormat="false" ht="15" hidden="false" customHeight="false" outlineLevel="0" collapsed="false">
      <c r="A337" s="34" t="n">
        <f aca="false">'Study multipliers'!N38</f>
        <v>0.131028262406404</v>
      </c>
      <c r="B337" s="34" t="n">
        <f aca="false">'Study multipliers'!O38</f>
        <v>0.0379459166750895</v>
      </c>
    </row>
    <row r="338" customFormat="false" ht="15" hidden="false" customHeight="false" outlineLevel="0" collapsed="false">
      <c r="A338" s="34" t="n">
        <f aca="false">'Study multipliers'!N40</f>
        <v>-0.0202027073175195</v>
      </c>
      <c r="B338" s="34" t="n">
        <f aca="false">'Study multipliers'!O40</f>
        <v>0.0853968703786821</v>
      </c>
    </row>
    <row r="339" customFormat="false" ht="15" hidden="false" customHeight="false" outlineLevel="0" collapsed="false">
      <c r="A339" s="34" t="n">
        <f aca="false">'Study multipliers'!N45</f>
        <v>-0.0100503358535015</v>
      </c>
      <c r="B339" s="34" t="n">
        <f aca="false">'Study multipliers'!O45</f>
        <v>0.217287718227627</v>
      </c>
    </row>
    <row r="340" customFormat="false" ht="15" hidden="false" customHeight="false" outlineLevel="0" collapsed="false">
      <c r="A340" s="34" t="n">
        <f aca="false">'Study multipliers'!N46</f>
        <v>0.165514438477573</v>
      </c>
      <c r="B340" s="34" t="n">
        <f aca="false">'Study multipliers'!O46</f>
        <v>0.417355864653336</v>
      </c>
    </row>
    <row r="341" customFormat="false" ht="15" hidden="false" customHeight="false" outlineLevel="0" collapsed="false">
      <c r="A341" s="34" t="n">
        <f aca="false">'Study multipliers'!N47</f>
        <v>0.0953101798043249</v>
      </c>
      <c r="B341" s="34" t="n">
        <f aca="false">'Study multipliers'!O47</f>
        <v>0.0713887844344986</v>
      </c>
    </row>
    <row r="342" customFormat="false" ht="15" hidden="false" customHeight="false" outlineLevel="0" collapsed="false">
      <c r="A342" s="34" t="n">
        <f aca="false">'Study multipliers'!N53</f>
        <v>0.405465108108164</v>
      </c>
      <c r="B342" s="34" t="n">
        <f aca="false">'Study multipliers'!O53</f>
        <v>0.220251068494067</v>
      </c>
    </row>
    <row r="343" customFormat="false" ht="15" hidden="false" customHeight="false" outlineLevel="0" collapsed="false">
      <c r="A343" s="34" t="n">
        <f aca="false">'Study multipliers'!N54</f>
        <v>0.672944473242426</v>
      </c>
      <c r="B343" s="34" t="n">
        <f aca="false">'Study multipliers'!O54</f>
        <v>0.167615878638033</v>
      </c>
    </row>
    <row r="344" customFormat="false" ht="15" hidden="false" customHeight="false" outlineLevel="0" collapsed="false">
      <c r="A344" s="34" t="n">
        <f aca="false">'Study multipliers'!N55</f>
        <v>0.0392207131532813</v>
      </c>
      <c r="B344" s="34" t="n">
        <f aca="false">'Study multipliers'!O55</f>
        <v>0.281676721879515</v>
      </c>
    </row>
    <row r="345" customFormat="false" ht="15" hidden="false" customHeight="false" outlineLevel="0" collapsed="false">
      <c r="A345" s="34" t="n">
        <f aca="false">'Study multipliers'!N56</f>
        <v>0.392042087776024</v>
      </c>
      <c r="B345" s="34" t="n">
        <f aca="false">'Study multipliers'!O56</f>
        <v>0.244609172998318</v>
      </c>
    </row>
    <row r="346" customFormat="false" ht="15" hidden="false" customHeight="false" outlineLevel="0" collapsed="false">
      <c r="A346" s="34" t="n">
        <f aca="false">'Study multipliers'!N57</f>
        <v>-0.693147180559945</v>
      </c>
      <c r="B346" s="34" t="n">
        <f aca="false">'Study multipliers'!O57</f>
        <v>0.176826508180749</v>
      </c>
    </row>
    <row r="347" customFormat="false" ht="15" hidden="false" customHeight="false" outlineLevel="0" collapsed="false">
      <c r="A347" s="34" t="n">
        <f aca="false">'Study multipliers'!N59</f>
        <v>0.0582689081239758</v>
      </c>
      <c r="B347" s="34" t="n">
        <f aca="false">'Study multipliers'!O59</f>
        <v>0.132791836455402</v>
      </c>
    </row>
    <row r="348" customFormat="false" ht="15" hidden="false" customHeight="false" outlineLevel="0" collapsed="false">
      <c r="A348" s="34" t="n">
        <f aca="false">'Study multipliers'!N64</f>
        <v>0.832909122935104</v>
      </c>
      <c r="B348" s="34" t="n">
        <f aca="false">'Study multipliers'!O64</f>
        <v>0.325591048076792</v>
      </c>
    </row>
    <row r="349" customFormat="false" ht="15" hidden="false" customHeight="false" outlineLevel="0" collapsed="false">
      <c r="A349" s="34" t="n">
        <f aca="false">'Study multipliers'!N65</f>
        <v>-0.139262067333508</v>
      </c>
      <c r="B349" s="34" t="n">
        <f aca="false">'Study multipliers'!O65</f>
        <v>0.478661051237706</v>
      </c>
    </row>
    <row r="350" customFormat="false" ht="15" hidden="false" customHeight="false" outlineLevel="0" collapsed="false">
      <c r="A350" s="34" t="n">
        <f aca="false">'Study multipliers'!N66</f>
        <v>-0.116533816255952</v>
      </c>
      <c r="B350" s="34" t="n">
        <f aca="false">'Study multipliers'!O66</f>
        <v>0.227407918027102</v>
      </c>
    </row>
    <row r="351" customFormat="false" ht="15" hidden="false" customHeight="false" outlineLevel="0" collapsed="false">
      <c r="A351" s="34" t="n">
        <f aca="false">'Study multipliers'!N73</f>
        <v>-2.30258509299405</v>
      </c>
      <c r="B351" s="34" t="n">
        <f aca="false">'Study multipliers'!O73</f>
        <v>1.76221483633938</v>
      </c>
    </row>
    <row r="352" customFormat="false" ht="15" hidden="false" customHeight="false" outlineLevel="0" collapsed="false">
      <c r="A352" s="34" t="n">
        <f aca="false">'Study multipliers'!N74</f>
        <v>0.0392207131532813</v>
      </c>
      <c r="B352" s="34" t="n">
        <f aca="false">'Study multipliers'!O74</f>
        <v>0.102434491135622</v>
      </c>
    </row>
    <row r="353" customFormat="false" ht="15" hidden="false" customHeight="false" outlineLevel="0" collapsed="false">
      <c r="A353" s="34" t="n">
        <f aca="false">'Study multipliers'!N75</f>
        <v>0.336472236621213</v>
      </c>
      <c r="B353" s="34" t="n">
        <f aca="false">'Study multipliers'!O75</f>
        <v>1.27824676731212</v>
      </c>
    </row>
    <row r="354" customFormat="false" ht="15" hidden="false" customHeight="false" outlineLevel="0" collapsed="false">
      <c r="A354" s="34" t="n">
        <f aca="false">'Study multipliers'!N76</f>
        <v>-0.22314355131421</v>
      </c>
      <c r="B354" s="34" t="n">
        <f aca="false">'Study multipliers'!O76</f>
        <v>0.337188805504162</v>
      </c>
    </row>
    <row r="355" customFormat="false" ht="15" hidden="false" customHeight="false" outlineLevel="0" collapsed="false">
      <c r="A355" s="34" t="n">
        <f aca="false">'Study multipliers'!N77</f>
        <v>0</v>
      </c>
      <c r="B355" s="34" t="n">
        <f aca="false">'Study multipliers'!O77</f>
        <v>0.252298655396448</v>
      </c>
    </row>
    <row r="356" customFormat="false" ht="15" hidden="false" customHeight="false" outlineLevel="0" collapsed="false">
      <c r="A356" s="34" t="n">
        <f aca="false">'Study multipliers'!N79</f>
        <v>0.262364264467491</v>
      </c>
      <c r="B356" s="34" t="n">
        <f aca="false">'Study multipliers'!O79</f>
        <v>0.334747574181508</v>
      </c>
    </row>
    <row r="357" customFormat="false" ht="15" hidden="false" customHeight="false" outlineLevel="0" collapsed="false">
      <c r="A357" s="34" t="n">
        <f aca="false">'Study multipliers'!N80</f>
        <v>0.336472236621213</v>
      </c>
      <c r="B357" s="34" t="n">
        <f aca="false">'Study multipliers'!O80</f>
        <v>0.138295122549975</v>
      </c>
    </row>
    <row r="358" customFormat="false" ht="15" hidden="false" customHeight="false" outlineLevel="0" collapsed="false">
      <c r="A358" s="34" t="n">
        <f aca="false">'Study multipliers'!N85</f>
        <v>0.0487901641694321</v>
      </c>
      <c r="B358" s="34" t="n">
        <f aca="false">'Study multipliers'!O85</f>
        <v>0.0846049202620296</v>
      </c>
    </row>
    <row r="359" customFormat="false" ht="15" hidden="false" customHeight="false" outlineLevel="0" collapsed="false">
      <c r="A359" s="34" t="n">
        <f aca="false">'Study multipliers'!N87</f>
        <v>-1.20397280432594</v>
      </c>
      <c r="B359" s="34" t="n">
        <f aca="false">'Study multipliers'!O87</f>
        <v>0.560526769199898</v>
      </c>
    </row>
    <row r="360" customFormat="false" ht="15" hidden="false" customHeight="false" outlineLevel="0" collapsed="false">
      <c r="A360" s="34" t="n">
        <f aca="false">'Study multipliers'!N90</f>
        <v>-0.510825623765991</v>
      </c>
      <c r="B360" s="34" t="n">
        <f aca="false">'Study multipliers'!O90</f>
        <v>0.331455828813759</v>
      </c>
    </row>
    <row r="361" customFormat="false" ht="15" hidden="false" customHeight="false" outlineLevel="0" collapsed="false">
      <c r="A361" s="34" t="n">
        <f aca="false">'Study multipliers'!N92</f>
        <v>0.693147180559945</v>
      </c>
      <c r="B361" s="34" t="n">
        <f aca="false">'Study multipliers'!O92</f>
        <v>0.302460572147687</v>
      </c>
    </row>
    <row r="362" customFormat="false" ht="15" hidden="false" customHeight="false" outlineLevel="0" collapsed="false">
      <c r="A362" s="34" t="n">
        <f aca="false">'Study multipliers'!N93</f>
        <v>0.182321556793955</v>
      </c>
      <c r="B362" s="34" t="n">
        <f aca="false">'Study multipliers'!O93</f>
        <v>0.331455828813759</v>
      </c>
    </row>
    <row r="363" customFormat="false" ht="15" hidden="false" customHeight="false" outlineLevel="0" collapsed="false">
      <c r="A363" s="34" t="n">
        <f aca="false">'Study multipliers'!N94</f>
        <v>-0.342490308946776</v>
      </c>
      <c r="B363" s="34" t="n">
        <f aca="false">'Study multipliers'!O94</f>
        <v>0.303186338573048</v>
      </c>
    </row>
    <row r="364" customFormat="false" ht="15" hidden="false" customHeight="false" outlineLevel="0" collapsed="false">
      <c r="A364" s="34" t="n">
        <f aca="false">'Study multipliers'!N99</f>
        <v>-0.105360515657826</v>
      </c>
      <c r="B364" s="34" t="n">
        <f aca="false">'Study multipliers'!O99</f>
        <v>0.312193344271149</v>
      </c>
    </row>
    <row r="365" customFormat="false" ht="15" hidden="false" customHeight="false" outlineLevel="0" collapsed="false">
      <c r="A365" s="34" t="n">
        <f aca="false">'Study multipliers'!N100</f>
        <v>0.0769610411361284</v>
      </c>
      <c r="B365" s="34" t="n">
        <f aca="false">'Study multipliers'!O100</f>
        <v>0.148170577517247</v>
      </c>
    </row>
    <row r="366" customFormat="false" ht="15" hidden="false" customHeight="false" outlineLevel="0" collapsed="false">
      <c r="A366" s="34" t="n">
        <f aca="false">'Study multipliers'!N101</f>
        <v>0</v>
      </c>
      <c r="B366" s="34" t="n">
        <f aca="false">'Study multipliers'!O101</f>
        <v>0.103436876419201</v>
      </c>
    </row>
    <row r="367" customFormat="false" ht="15" hidden="false" customHeight="false" outlineLevel="0" collapsed="false">
      <c r="A367" s="34" t="n">
        <f aca="false">'Study multipliers'!N106</f>
        <v>-0.385662480811985</v>
      </c>
      <c r="B367" s="34" t="n">
        <f aca="false">'Study multipliers'!O106</f>
        <v>0.46938657318347</v>
      </c>
    </row>
    <row r="368" customFormat="false" ht="15" hidden="false" customHeight="false" outlineLevel="0" collapsed="false">
      <c r="A368" s="34" t="n">
        <f aca="false">'Study multipliers'!N108</f>
        <v>-0.083381608939051</v>
      </c>
      <c r="B368" s="34" t="n">
        <f aca="false">'Study multipliers'!O108</f>
        <v>0.291461088628499</v>
      </c>
    </row>
    <row r="369" customFormat="false" ht="15" hidden="false" customHeight="false" outlineLevel="0" collapsed="false">
      <c r="A369" s="34" t="n">
        <f aca="false">'Study multipliers'!N113</f>
        <v>0.76080582903376</v>
      </c>
      <c r="B369" s="34" t="n">
        <f aca="false">'Study multipliers'!O113</f>
        <v>0.255556342534402</v>
      </c>
    </row>
    <row r="370" customFormat="false" ht="15" hidden="false" customHeight="false" outlineLevel="0" collapsed="false">
      <c r="A370" s="34" t="n">
        <f aca="false">'Study multipliers'!N119</f>
        <v>-0.430782916092454</v>
      </c>
      <c r="B370" s="34" t="n">
        <f aca="false">'Study multipliers'!O119</f>
        <v>0.248616719490289</v>
      </c>
    </row>
    <row r="371" customFormat="false" ht="15" hidden="false" customHeight="false" outlineLevel="0" collapsed="false">
      <c r="A371" s="34" t="n">
        <f aca="false">'Study multipliers'!N125</f>
        <v>0.0582689081239758</v>
      </c>
      <c r="B371" s="34" t="n">
        <f aca="false">'Study multipliers'!O125</f>
        <v>0.170023258967457</v>
      </c>
    </row>
    <row r="372" customFormat="false" ht="15" hidden="false" customHeight="false" outlineLevel="0" collapsed="false">
      <c r="A372" s="34" t="n">
        <f aca="false">'Study multipliers'!N130</f>
        <v>0.779324876800998</v>
      </c>
      <c r="B372" s="34" t="n">
        <f aca="false">'Study multipliers'!O130</f>
        <v>0.494209856124728</v>
      </c>
    </row>
    <row r="373" customFormat="false" ht="15" hidden="false" customHeight="false" outlineLevel="0" collapsed="false">
      <c r="A373" s="34" t="n">
        <f aca="false">'Study multipliers'!N135</f>
        <v>-0.186329578191493</v>
      </c>
      <c r="B373" s="34" t="n">
        <f aca="false">'Study multipliers'!O135</f>
        <v>0.211470394792712</v>
      </c>
    </row>
    <row r="374" customFormat="false" ht="15" hidden="false" customHeight="false" outlineLevel="0" collapsed="false">
      <c r="A374" s="34" t="n">
        <f aca="false">'Study multipliers'!N140</f>
        <v>-0.083381608939051</v>
      </c>
      <c r="B374" s="34" t="n">
        <f aca="false">'Study multipliers'!O140</f>
        <v>0.224057588224973</v>
      </c>
    </row>
    <row r="375" customFormat="false" ht="15" hidden="false" customHeight="false" outlineLevel="0" collapsed="false">
      <c r="A375" s="34" t="n">
        <f aca="false">'Study multipliers'!N145</f>
        <v>0.683096844706444</v>
      </c>
      <c r="B375" s="34" t="n">
        <f aca="false">'Study multipliers'!O145</f>
        <v>0.298172963212936</v>
      </c>
    </row>
    <row r="376" customFormat="false" ht="15" hidden="false" customHeight="false" outlineLevel="0" collapsed="false">
      <c r="A376" s="34" t="n">
        <f aca="false">'Study multipliers'!N150</f>
        <v>0.53062825106217</v>
      </c>
      <c r="B376" s="34" t="n">
        <f aca="false">'Study multipliers'!O150</f>
        <v>0.422696602187363</v>
      </c>
    </row>
    <row r="400" customFormat="false" ht="15" hidden="false" customHeight="false" outlineLevel="0" collapsed="false">
      <c r="A400" s="34" t="n">
        <f aca="false">IF('Study multipliers'!V15&gt;0,'Study multipliers'!AB15,"")</f>
        <v>0.141168194749975</v>
      </c>
      <c r="B400" s="34" t="n">
        <f aca="false">IF('Study multipliers'!V15&gt;0,'Study multipliers'!AC15,"")</f>
        <v>0.0301342378866658</v>
      </c>
      <c r="C400" s="31" t="s">
        <v>53</v>
      </c>
    </row>
    <row r="401" customFormat="false" ht="15" hidden="false" customHeight="false" outlineLevel="0" collapsed="false">
      <c r="A401" s="34" t="n">
        <f aca="false">IF('Study multipliers'!V23&gt;0,'Study multipliers'!AB23,"")</f>
        <v>0.0529070363772138</v>
      </c>
      <c r="B401" s="34" t="n">
        <f aca="false">IF('Study multipliers'!V23&gt;0,'Study multipliers'!AC23,"")</f>
        <v>0.0673727226899743</v>
      </c>
      <c r="C401" s="31" t="s">
        <v>104</v>
      </c>
    </row>
    <row r="402" customFormat="false" ht="15" hidden="false" customHeight="false" outlineLevel="0" collapsed="false">
      <c r="A402" s="34" t="n">
        <f aca="false">IF('Study multipliers'!V42&gt;0,'Study multipliers'!AB42,"")</f>
        <v>0.168746556179236</v>
      </c>
      <c r="B402" s="34" t="n">
        <f aca="false">IF('Study multipliers'!V42&gt;0,'Study multipliers'!AC42,"")</f>
        <v>0.044779253383817</v>
      </c>
      <c r="C402" s="31" t="s">
        <v>113</v>
      </c>
    </row>
    <row r="403" customFormat="false" ht="15" hidden="false" customHeight="false" outlineLevel="0" collapsed="false">
      <c r="A403" s="34" t="n">
        <f aca="false">IF('Study multipliers'!V50&gt;0,'Study multipliers'!AB50,"")</f>
        <v>0.0871157056247218</v>
      </c>
      <c r="B403" s="34" t="n">
        <f aca="false">IF('Study multipliers'!V50&gt;0,'Study multipliers'!AC50,"")</f>
        <v>0.0669439866884318</v>
      </c>
      <c r="C403" s="31" t="s">
        <v>159</v>
      </c>
    </row>
    <row r="404" customFormat="false" ht="15" hidden="false" customHeight="false" outlineLevel="0" collapsed="false">
      <c r="A404" s="34" t="n">
        <f aca="false">IF('Study multipliers'!V61&gt;0,'Study multipliers'!AB61,"")</f>
        <v>0.141793566882157</v>
      </c>
      <c r="B404" s="34" t="n">
        <f aca="false">IF('Study multipliers'!V61&gt;0,'Study multipliers'!AC61,"")</f>
        <v>0.209044212212951</v>
      </c>
      <c r="C404" s="31" t="s">
        <v>169</v>
      </c>
    </row>
    <row r="405" customFormat="false" ht="15" hidden="false" customHeight="false" outlineLevel="0" collapsed="false">
      <c r="A405" s="34" t="n">
        <f aca="false">IF('Study multipliers'!V69&gt;0,'Study multipliers'!AB69,"")</f>
        <v>0.202365927364211</v>
      </c>
      <c r="B405" s="34" t="n">
        <f aca="false">IF('Study multipliers'!V69&gt;0,'Study multipliers'!AC69,"")</f>
        <v>0.335160409478581</v>
      </c>
      <c r="C405" s="31" t="s">
        <v>186</v>
      </c>
    </row>
    <row r="406" customFormat="false" ht="15" hidden="false" customHeight="false" outlineLevel="0" collapsed="false">
      <c r="A406" s="34" t="n">
        <f aca="false">IF('Study multipliers'!V82&gt;0,'Study multipliers'!AB82,"")</f>
        <v>0.117765262449223</v>
      </c>
      <c r="B406" s="34" t="n">
        <f aca="false">IF('Study multipliers'!V82&gt;0,'Study multipliers'!AC82,"")</f>
        <v>0.0825310382102228</v>
      </c>
      <c r="C406" s="31" t="s">
        <v>195</v>
      </c>
    </row>
    <row r="407" customFormat="false" ht="15" hidden="false" customHeight="false" outlineLevel="0" collapsed="false">
      <c r="A407" s="34" t="n">
        <f aca="false">IF('Study multipliers'!V96&gt;0,'Study multipliers'!AB96,"")</f>
        <v>-0.0770873711883375</v>
      </c>
      <c r="B407" s="34" t="n">
        <f aca="false">IF('Study multipliers'!V96&gt;0,'Study multipliers'!AC96,"")</f>
        <v>0.189258910115061</v>
      </c>
      <c r="C407" s="31" t="s">
        <v>217</v>
      </c>
    </row>
    <row r="408" customFormat="false" ht="15" hidden="false" customHeight="false" outlineLevel="0" collapsed="false">
      <c r="A408" s="34" t="n">
        <f aca="false">IF('Study multipliers'!V103&gt;0,'Study multipliers'!AB103,"")</f>
        <v>0.0162417145726605</v>
      </c>
      <c r="B408" s="34" t="n">
        <f aca="false">IF('Study multipliers'!V103&gt;0,'Study multipliers'!AC103,"")</f>
        <v>0.0818480045414776</v>
      </c>
      <c r="C408" s="31" t="s">
        <v>233</v>
      </c>
    </row>
    <row r="409" customFormat="false" ht="15" hidden="false" customHeight="false" outlineLevel="0" collapsed="false">
      <c r="A409" s="34" t="n">
        <f aca="false">IF('Study multipliers'!V110&gt;0,'Study multipliers'!AB110,"")</f>
        <v>-0.167498454868137</v>
      </c>
      <c r="B409" s="34" t="n">
        <f aca="false">IF('Study multipliers'!V110&gt;0,'Study multipliers'!AC110,"")</f>
        <v>0.247609224105611</v>
      </c>
      <c r="C409" s="31" t="s">
        <v>240</v>
      </c>
    </row>
    <row r="410" customFormat="false" ht="15" hidden="false" customHeight="false" outlineLevel="0" collapsed="false">
      <c r="A410" s="34" t="n">
        <f aca="false">IF('Study multipliers'!V116&gt;0,'Study multipliers'!AB116,"")</f>
        <v>0.76080582903376</v>
      </c>
      <c r="B410" s="34" t="n">
        <f aca="false">IF('Study multipliers'!V116&gt;0,'Study multipliers'!AC116,"")</f>
        <v>0.255556342534402</v>
      </c>
      <c r="C410" s="31" t="s">
        <v>244</v>
      </c>
    </row>
    <row r="411" customFormat="false" ht="15" hidden="false" customHeight="false" outlineLevel="0" collapsed="false">
      <c r="A411" s="34" t="n">
        <f aca="false">IF('Study multipliers'!V121&gt;0,'Study multipliers'!AB121,"")</f>
        <v>-0.430782916092454</v>
      </c>
      <c r="B411" s="34" t="n">
        <f aca="false">IF('Study multipliers'!V121&gt;0,'Study multipliers'!AC121,"")</f>
        <v>0.248616719490289</v>
      </c>
      <c r="C411" s="31" t="s">
        <v>249</v>
      </c>
    </row>
    <row r="412" customFormat="false" ht="15" hidden="false" customHeight="false" outlineLevel="0" collapsed="false">
      <c r="A412" s="34" t="n">
        <f aca="false">IF('Study multipliers'!V127&gt;0,'Study multipliers'!AB127,"")</f>
        <v>0.0582689081239758</v>
      </c>
      <c r="B412" s="34" t="n">
        <f aca="false">IF('Study multipliers'!V127&gt;0,'Study multipliers'!AC127,"")</f>
        <v>0.170023258967457</v>
      </c>
      <c r="C412" s="31" t="s">
        <v>250</v>
      </c>
    </row>
    <row r="413" customFormat="false" ht="15" hidden="false" customHeight="false" outlineLevel="0" collapsed="false">
      <c r="A413" s="34" t="n">
        <f aca="false">IF('Study multipliers'!V132&gt;0,'Study multipliers'!AB132,"")</f>
        <v>0.779324876800998</v>
      </c>
      <c r="B413" s="34" t="n">
        <f aca="false">IF('Study multipliers'!V132&gt;0,'Study multipliers'!AC132,"")</f>
        <v>0.494209856124728</v>
      </c>
      <c r="C413" s="31" t="s">
        <v>252</v>
      </c>
    </row>
    <row r="414" customFormat="false" ht="15" hidden="false" customHeight="false" outlineLevel="0" collapsed="false">
      <c r="A414" s="34" t="n">
        <f aca="false">IF('Study multipliers'!V137&gt;0,'Study multipliers'!AB137,"")</f>
        <v>-0.186329578191493</v>
      </c>
      <c r="B414" s="34" t="n">
        <f aca="false">IF('Study multipliers'!V137&gt;0,'Study multipliers'!AC137,"")</f>
        <v>0.211470394792712</v>
      </c>
      <c r="C414" s="31" t="s">
        <v>254</v>
      </c>
    </row>
    <row r="415" customFormat="false" ht="15" hidden="false" customHeight="false" outlineLevel="0" collapsed="false">
      <c r="A415" s="34" t="n">
        <f aca="false">IF('Study multipliers'!V142&gt;0,'Study multipliers'!AB142,"")</f>
        <v>-0.083381608939051</v>
      </c>
      <c r="B415" s="34" t="n">
        <f aca="false">IF('Study multipliers'!V142&gt;0,'Study multipliers'!AC142,"")</f>
        <v>0.224057588224973</v>
      </c>
      <c r="C415" s="31" t="s">
        <v>256</v>
      </c>
    </row>
    <row r="416" customFormat="false" ht="15" hidden="false" customHeight="false" outlineLevel="0" collapsed="false">
      <c r="A416" s="34" t="n">
        <f aca="false">IF('Study multipliers'!V147&gt;0,'Study multipliers'!AB147,"")</f>
        <v>0.683096844706444</v>
      </c>
      <c r="B416" s="34" t="n">
        <f aca="false">IF('Study multipliers'!V147&gt;0,'Study multipliers'!AC147,"")</f>
        <v>0.298172963212936</v>
      </c>
      <c r="C416" s="31" t="s">
        <v>258</v>
      </c>
    </row>
    <row r="417" customFormat="false" ht="15" hidden="false" customHeight="false" outlineLevel="0" collapsed="false">
      <c r="A417" s="34" t="n">
        <f aca="false">IF('Study multipliers'!V153&gt;0,'Study multipliers'!AB153,"")</f>
        <v>0.53062825106217</v>
      </c>
      <c r="B417" s="34" t="n">
        <f aca="false">IF('Study multipliers'!V153&gt;0,'Study multipliers'!AC153,"")</f>
        <v>0.422696602187363</v>
      </c>
      <c r="C417" s="31" t="s">
        <v>259</v>
      </c>
    </row>
    <row r="418" customFormat="false" ht="15" hidden="false" customHeight="false" outlineLevel="0" collapsed="false">
      <c r="A418" s="0" t="str">
        <f aca="false">IF('Study multipliers'!V158&gt;0,'Study multipliers'!AB158,"")</f>
        <v/>
      </c>
      <c r="B418" s="0" t="str">
        <f aca="false">IF('Study multipliers'!V158&gt;0,'Study multipliers'!AC158,"")</f>
        <v/>
      </c>
      <c r="C418" s="0" t="s">
        <v>261</v>
      </c>
    </row>
    <row r="419" customFormat="false" ht="15" hidden="false" customHeight="false" outlineLevel="0" collapsed="false">
      <c r="A419" s="0" t="str">
        <f aca="false">IF('Study multipliers'!V163&gt;0,'Study multipliers'!AB163,"")</f>
        <v/>
      </c>
      <c r="B419" s="0" t="str">
        <f aca="false">IF('Study multipliers'!V163&gt;0,'Study multipliers'!AC163,"")</f>
        <v/>
      </c>
      <c r="C419" s="0" t="s">
        <v>262</v>
      </c>
    </row>
  </sheetData>
  <mergeCells count="2">
    <mergeCell ref="A2:G2"/>
    <mergeCell ref="A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6"/>
    <col collapsed="false" customWidth="true" hidden="false" outlineLevel="0" max="5" min="4" style="0" width="13"/>
    <col collapsed="false" customWidth="true" hidden="false" outlineLevel="0" max="7" min="6" style="0" width="14"/>
    <col collapsed="false" customWidth="true" hidden="false" outlineLevel="0" max="8" min="8" style="0" width="15"/>
  </cols>
  <sheetData>
    <row r="1" customFormat="false" ht="17.35" hidden="false" customHeight="false" outlineLevel="0" collapsed="false">
      <c r="A1" s="22" t="s">
        <v>313</v>
      </c>
    </row>
    <row r="2" customFormat="false" ht="33.75" hidden="false" customHeight="true" outlineLevel="0" collapsed="false">
      <c r="A2" s="20" t="s">
        <v>314</v>
      </c>
      <c r="B2" s="20"/>
      <c r="C2" s="20"/>
      <c r="D2" s="20"/>
      <c r="E2" s="20"/>
      <c r="F2" s="20"/>
      <c r="G2" s="20"/>
      <c r="H2" s="20"/>
    </row>
    <row r="4" customFormat="false" ht="15" hidden="false" customHeight="false" outlineLevel="0" collapsed="false">
      <c r="A4" s="35" t="s">
        <v>315</v>
      </c>
      <c r="B4" s="36" t="n">
        <v>0.1</v>
      </c>
      <c r="C4" s="33" t="s">
        <v>316</v>
      </c>
    </row>
    <row r="6" customFormat="false" ht="42" hidden="false" customHeight="true" outlineLevel="0" collapsed="false">
      <c r="A6" s="6" t="s">
        <v>24</v>
      </c>
      <c r="B6" s="6" t="s">
        <v>317</v>
      </c>
      <c r="C6" s="6" t="s">
        <v>318</v>
      </c>
      <c r="D6" s="6" t="s">
        <v>319</v>
      </c>
      <c r="E6" s="6" t="s">
        <v>320</v>
      </c>
      <c r="F6" s="6" t="s">
        <v>321</v>
      </c>
      <c r="G6" s="6" t="s">
        <v>322</v>
      </c>
      <c r="H6" s="6" t="s">
        <v>323</v>
      </c>
    </row>
    <row r="7" customFormat="false" ht="15" hidden="false" customHeight="false" outlineLevel="0" collapsed="false">
      <c r="A7" s="18" t="s">
        <v>113</v>
      </c>
      <c r="B7" s="37" t="n">
        <v>1488</v>
      </c>
      <c r="C7" s="12" t="n">
        <f aca="false">'Study multipliers'!K42</f>
        <v>1.18382006901875</v>
      </c>
      <c r="D7" s="38" t="n">
        <f aca="false">IF(C7&gt;1,$B$4*(C7-1)/(1+$B$4*(C7-1)),0)</f>
        <v>0.0180502078564774</v>
      </c>
      <c r="E7" s="39" t="n">
        <f aca="false">D7*B7</f>
        <v>26.8587092904384</v>
      </c>
      <c r="F7" s="12" t="n">
        <f aca="false">'Per 10 mg per L'!J26</f>
        <v>1.20734644847765</v>
      </c>
      <c r="G7" s="38" t="n">
        <f aca="false">IF(F7&gt;1,$B$4*(F7-1)/(1+$B$4*(F7-1)),0)</f>
        <v>0.0203134526220159</v>
      </c>
      <c r="H7" s="39" t="n">
        <f aca="false">G7*B7</f>
        <v>30.2264175015596</v>
      </c>
    </row>
    <row r="8" customFormat="false" ht="15" hidden="false" customHeight="false" outlineLevel="0" collapsed="false">
      <c r="A8" s="18" t="s">
        <v>53</v>
      </c>
      <c r="B8" s="37" t="n">
        <v>194</v>
      </c>
      <c r="C8" s="12" t="n">
        <f aca="false">'Study multipliers'!K15</f>
        <v>1.15161832785304</v>
      </c>
      <c r="D8" s="38" t="n">
        <f aca="false">IF(C8&gt;1,$B$4*(C8-1)/(1+$B$4*(C8-1)),0)</f>
        <v>0.014935384975718</v>
      </c>
      <c r="E8" s="39" t="n">
        <f aca="false">D8*B8</f>
        <v>2.89746468528929</v>
      </c>
      <c r="F8" s="12" t="n">
        <f aca="false">'Per 10 mg per L'!J10</f>
        <v>1.30106734100819</v>
      </c>
      <c r="G8" s="38" t="n">
        <f aca="false">IF(F8&gt;1,$B$4*(F8-1)/(1+$B$4*(F8-1)),0)</f>
        <v>0.0292268102946621</v>
      </c>
      <c r="H8" s="39" t="n">
        <f aca="false">G8*B8</f>
        <v>5.67000119716444</v>
      </c>
    </row>
    <row r="9" customFormat="false" ht="15" hidden="false" customHeight="false" outlineLevel="0" collapsed="false">
      <c r="A9" s="18" t="s">
        <v>244</v>
      </c>
      <c r="B9" s="37" t="n">
        <v>205</v>
      </c>
      <c r="C9" s="12" t="n">
        <f aca="false">'Study multipliers'!K116</f>
        <v>2.14</v>
      </c>
      <c r="D9" s="38" t="n">
        <f aca="false">IF(C9&gt;1,$B$4*(C9-1)/(1+$B$4*(C9-1)),0)</f>
        <v>0.102333931777379</v>
      </c>
      <c r="E9" s="39" t="n">
        <f aca="false">D9*B9</f>
        <v>20.9784560143627</v>
      </c>
      <c r="F9" s="12" t="n">
        <f aca="false">'Per 10 mg per L'!J75</f>
        <v>1.98581359293546</v>
      </c>
      <c r="G9" s="38" t="n">
        <f aca="false">IF(F9&gt;1,$B$4*(F9-1)/(1+$B$4*(F9-1)),0)</f>
        <v>0.0897351465684253</v>
      </c>
      <c r="H9" s="39" t="n">
        <f aca="false">G9*B9</f>
        <v>18.3957050465272</v>
      </c>
    </row>
    <row r="10" customFormat="false" ht="15" hidden="false" customHeight="false" outlineLevel="0" collapsed="false">
      <c r="A10" s="18" t="s">
        <v>252</v>
      </c>
      <c r="B10" s="37" t="n">
        <v>477</v>
      </c>
      <c r="C10" s="12" t="n">
        <f aca="false">'Study multipliers'!K132</f>
        <v>2.18</v>
      </c>
      <c r="D10" s="38" t="n">
        <f aca="false">IF(C10&gt;1,$B$4*(C10-1)/(1+$B$4*(C10-1)),0)</f>
        <v>0.105545617173524</v>
      </c>
      <c r="E10" s="39" t="n">
        <f aca="false">D10*B10</f>
        <v>50.345259391771</v>
      </c>
      <c r="F10" s="12" t="n">
        <f aca="false">'Per 10 mg per L'!J83</f>
        <v>2.31378743977588</v>
      </c>
      <c r="G10" s="38" t="n">
        <f aca="false">IF(F10&gt;1,$B$4*(F10-1)/(1+$B$4*(F10-1)),0)</f>
        <v>0.116122690723091</v>
      </c>
      <c r="H10" s="39" t="n">
        <f aca="false">G10*B10</f>
        <v>55.3905234749142</v>
      </c>
    </row>
    <row r="11" customFormat="false" ht="15" hidden="false" customHeight="false" outlineLevel="0" collapsed="false">
      <c r="A11" s="18" t="s">
        <v>186</v>
      </c>
      <c r="B11" s="37" t="n">
        <v>879</v>
      </c>
      <c r="C11" s="12" t="n">
        <f aca="false">'Study multipliers'!K69</f>
        <v>1.22429592953552</v>
      </c>
      <c r="D11" s="38" t="n">
        <f aca="false">IF(C11&gt;1,$B$4*(C11-1)/(1+$B$4*(C11-1)),0)</f>
        <v>0.0219375427981872</v>
      </c>
      <c r="E11" s="39" t="n">
        <f aca="false">D11*B11</f>
        <v>19.2831001196065</v>
      </c>
      <c r="F11" s="12" t="n">
        <f aca="false">'Per 10 mg per L'!J46</f>
        <v>1.411656873972</v>
      </c>
      <c r="G11" s="38" t="n">
        <f aca="false">IF(F11&gt;1,$B$4*(F11-1)/(1+$B$4*(F11-1)),0)</f>
        <v>0.039538075347171</v>
      </c>
      <c r="H11" s="39" t="n">
        <f aca="false">G11*B11</f>
        <v>34.7539682301633</v>
      </c>
    </row>
    <row r="12" customFormat="false" ht="15" hidden="false" customHeight="false" outlineLevel="0" collapsed="false">
      <c r="A12" s="18" t="s">
        <v>169</v>
      </c>
      <c r="B12" s="37" t="n">
        <v>815</v>
      </c>
      <c r="C12" s="12" t="n">
        <f aca="false">'Study multipliers'!K61</f>
        <v>1.15233874310252</v>
      </c>
      <c r="D12" s="38" t="n">
        <f aca="false">IF(C12&gt;1,$B$4*(C12-1)/(1+$B$4*(C12-1)),0)</f>
        <v>0.0150052856743003</v>
      </c>
      <c r="E12" s="39" t="n">
        <f aca="false">D12*B12</f>
        <v>12.2293078245547</v>
      </c>
      <c r="F12" s="12" t="n">
        <f aca="false">'Per 10 mg per L'!J41</f>
        <v>1.21675722371213</v>
      </c>
      <c r="G12" s="38" t="n">
        <f aca="false">IF(F12&gt;1,$B$4*(F12-1)/(1+$B$4*(F12-1)),0)</f>
        <v>0.0212158534225577</v>
      </c>
      <c r="H12" s="39" t="n">
        <f aca="false">G12*B12</f>
        <v>17.2909205393845</v>
      </c>
    </row>
    <row r="13" customFormat="false" ht="15" hidden="false" customHeight="false" outlineLevel="0" collapsed="false">
      <c r="A13" s="15" t="s">
        <v>324</v>
      </c>
      <c r="B13" s="40" t="n">
        <f aca="false">SUM(B7:B12)</f>
        <v>4058</v>
      </c>
      <c r="C13" s="15"/>
      <c r="D13" s="15"/>
      <c r="E13" s="41" t="n">
        <f aca="false">SUM(E7:E12)</f>
        <v>132.592297326023</v>
      </c>
      <c r="F13" s="15"/>
      <c r="G13" s="15"/>
      <c r="H13" s="41" t="n">
        <f aca="false">SUM(H7:H12)</f>
        <v>161.727535989713</v>
      </c>
    </row>
    <row r="15" customFormat="false" ht="15" hidden="false" customHeight="false" outlineLevel="0" collapsed="false">
      <c r="A15" s="35" t="s">
        <v>325</v>
      </c>
      <c r="B15" s="42" t="n">
        <v>21258</v>
      </c>
    </row>
    <row r="16" customFormat="false" ht="15" hidden="false" customHeight="false" outlineLevel="0" collapsed="false">
      <c r="A16" s="35" t="s">
        <v>326</v>
      </c>
      <c r="B16" s="43" t="n">
        <f aca="false">E13/B15</f>
        <v>0.00623728936522827</v>
      </c>
    </row>
    <row r="17" customFormat="false" ht="15" hidden="false" customHeight="false" outlineLevel="0" collapsed="false">
      <c r="A17" s="35" t="s">
        <v>327</v>
      </c>
      <c r="B17" s="44" t="s">
        <v>328</v>
      </c>
    </row>
    <row r="19" customFormat="false" ht="39.75" hidden="false" customHeight="true" outlineLevel="0" collapsed="false">
      <c r="A19" s="20" t="s">
        <v>329</v>
      </c>
      <c r="B19" s="20"/>
      <c r="C19" s="20"/>
      <c r="D19" s="20"/>
      <c r="E19" s="20"/>
      <c r="F19" s="20"/>
      <c r="G19" s="20"/>
      <c r="H19" s="20"/>
    </row>
    <row r="20" customFormat="false" ht="39.75" hidden="false" customHeight="true" outlineLevel="0" collapsed="false">
      <c r="A20" s="20" t="s">
        <v>330</v>
      </c>
      <c r="B20" s="20"/>
      <c r="C20" s="20"/>
      <c r="D20" s="20"/>
      <c r="E20" s="20"/>
      <c r="F20" s="20"/>
      <c r="G20" s="20"/>
      <c r="H20" s="20"/>
    </row>
    <row r="21" customFormat="false" ht="39.75" hidden="false" customHeight="true" outlineLevel="0" collapsed="false">
      <c r="A21" s="20" t="s">
        <v>331</v>
      </c>
      <c r="B21" s="20"/>
      <c r="C21" s="20"/>
      <c r="D21" s="20"/>
      <c r="E21" s="20"/>
      <c r="F21" s="20"/>
      <c r="G21" s="20"/>
      <c r="H21" s="20"/>
    </row>
  </sheetData>
  <mergeCells count="4">
    <mergeCell ref="A2:H2"/>
    <mergeCell ref="A19:H19"/>
    <mergeCell ref="A20:H20"/>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2026-10-21T02:23:46Z</dcterms:created>
  <dc:creator>openpyxl</dc:creator>
  <dc:description/>
  <dc:language>en-US</dc:language>
  <cp:lastModifiedBy/>
  <dcterms:modified xsi:type="dcterms:W3CDTF">2026-10-21T02:23:46Z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