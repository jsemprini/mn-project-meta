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udy multipliers" sheetId="2" state="visible" r:id="rId4"/>
    <sheet name="Pooled comparisons" sheetId="3" state="visible" r:id="rId5"/>
    <sheet name="Three-study pool" sheetId="4" state="visible" r:id="rId6"/>
    <sheet name="Scale and overlap" sheetId="5" state="visible" r:id="rId7"/>
    <sheet name="Birth weight (gram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<sst xmlns="http://schemas.openxmlformats.org/spreadsheetml/2006/main" count="510" uniqueCount="226">
  <si>
    <t xml:space="preserve">Prenatal nitrate exposure and birth outcomes: study-level multipliers and pooled estimates</t>
  </si>
  <si>
    <t xml:space="preserve">Companion to the cancer workbook. Compiled 2026-10-20.</t>
  </si>
  <si>
    <t xml:space="preserve">The headline</t>
  </si>
  <si>
    <t xml:space="preserve">For very preterm birth, three independent analyses agree almost exactly. Semprini gives 1.46 in Iowa, Sherris gives 1.47 in California, and Stayner gives 1.47 across four Midwestern states once rescaled to the same contrast. Pooled: 1.47 (1.32 to 1.64) with I-squared of 0%. For preterm birth overall the three-study pool is 1.11 (1.06 to 1.16), also with zero heterogeneity.</t>
  </si>
  <si>
    <t xml:space="preserve">Zero heterogeneity across three designs and three populations is the thing to notice. Across the 20 cancer sites in the companion workbook, heterogeneity ran from 50% to 87%. This literature is behaving in a way the cancer literature does not.</t>
  </si>
  <si>
    <t xml:space="preserve">Sheets</t>
  </si>
  <si>
    <t xml:space="preserve">Study multipliers - every estimate from all four sources, grouped by outcome, with pooled rows. Columns U to AB hold the meta-analysis working.</t>
  </si>
  <si>
    <t xml:space="preserve">Pooled comparisons - the six study sets you asked for, per outcome: the three studies together, the SR alone, each of the three against the SR, and everything combined.</t>
  </si>
  <si>
    <t xml:space="preserve">Three-study pool - Semprini, Montoya and Sherris side by side, with the judgement calls stated.</t>
  </si>
  <si>
    <t xml:space="preserve">Scale and overlap - what the rescaling assumption does to each per-unit estimate, and the Sherris double-counting demonstration.</t>
  </si>
  <si>
    <t xml:space="preserve">Birth weight (grams) - continuous results, which have no multiplier form.</t>
  </si>
  <si>
    <t xml:space="preserve">Sources</t>
  </si>
  <si>
    <t xml:space="preserve">Semprini J. Prenatal Exposure to Compliant Nitrate in Iowa Public Drinking Water (1983-1988). medRxiv preprint, posted 15 Sep 2026, doi 10.64898/2026.09.14.26363048. Not yet peer reviewed. N = 113,328 Iowa singleton births; linear probability models with county-by-year and year-by-conception-quarter fixed effects.</t>
  </si>
  <si>
    <t xml:space="preserve">Sorensen Montoya E. Birth outcome effects of nitrate contamination in drinking water. Journal of Environmental Economics and Management 2025;133:103197. N = 338,962 California births; instrumental-variables specification with water-system fixed effects.</t>
  </si>
  <si>
    <t xml:space="preserve">Sherris AR, Baiocchi M, Fendorf S, Luby SP, Yang W, Shaw GM. Nitrate in Drinking Water during Pregnancy and Spontaneous Preterm Birth: A Retrospective Within-Mother Analysis in California. Environmental Health Perspectives 2021;129(5):057001. N = 1,443,318 sibling births; conditional logistic regression within mothers.</t>
  </si>
  <si>
    <t xml:space="preserve">Clemmensen PJ, Schullehner J, Brix N, Sigsgaard T, Stayner LT, Kolstad HA, Ramlau-Hansen CH. Prenatal Exposure to Nitrate in Drinking Water and Adverse Health Outcomes in the Offspring: a Review of Current Epidemiological Research. Current Environmental Health Reports 2023;10:250-263. A narrative review of 13 studies published since 2017. It reports no pooled estimates of its own - the 'SR evidence base' figures here are pooled by me from the individual studies it tabulates.</t>
  </si>
  <si>
    <t xml:space="preserve">Judgement calls you should know about before quoting anything</t>
  </si>
  <si>
    <t xml:space="preserve">1. Sherris reports spontaneous preterm birth at 20-31 weeks and at 32-36 weeks, never a single &lt;37 week figure. I mapped 32-36 weeks onto 'preterm' and 20-31 weeks onto 'very preterm'. That is the largest single assumption in this workbook and it is defensible but arguable.</t>
  </si>
  <si>
    <t xml:space="preserve">2. Semprini and Montoya report percentage-point marginal effects, not ratios. Converting to a multiplier as 1 + (effect / baseline rate) is exact for the point estimate and applies the same transformation to the confidence limits.</t>
  </si>
  <si>
    <t xml:space="preserve">3. Studies reporting per-unit effects are stretched to the 5 mg/L-N contrast by log-linear extrapolation. This is the same move criticised in the cancer work, and it inflates Stayner's very-low-birthweight estimate from 1.17 to 2.19. The three-study pool uses no rescaling at all.</t>
  </si>
  <si>
    <t xml:space="preserve">4. Huang 2018's exposure unit is given as '9.33 ppm nitrate' without specifying nitrate ion or nitrate-nitrogen. I assumed nitrate ion. If it is nitrogen, its rescaled contribution shrinks considerably.</t>
  </si>
  <si>
    <t xml:space="preserve">5. Sherris 2021 sits inside the Clemmensen review, so 'Sherris versus the SR' double-counts unless the SR set is stripped first. Both versions are shown on the 'Scale and overlap' sheet.</t>
  </si>
  <si>
    <t xml:space="preserve">6. Semprini 2026 is a preprint and has not been peer reviewed. Its reference list also cites a retracted earlier paper by the same author on a related question, labelled as retracted. An interviewer who has read closely may raise either point.</t>
  </si>
  <si>
    <t xml:space="preserve">Where this is weaker than it looks</t>
  </si>
  <si>
    <t xml:space="preserve">Low birthweight is not a finding. Semprini puts it at 0.94 and Montoya at 1.17, with I-squared of 87%. The pooled value of 1.05 with a confidence interval from 0.85 to 1.30 is an artefact of averaging two studies that disagree, not a result.</t>
  </si>
  <si>
    <t xml:space="preserve">Two of the three studies are from California and share an exposure-assessment approach. The agreement between Montoya and Sherris is less independent than the agreement between either of them and Semprini.</t>
  </si>
  <si>
    <t xml:space="preserve">All four sources are observational. Nothing here establishes causation, and the same latency and confounding caveats that apply to the cancer literature apply in weaker form here. What is different is that the exposure window is short and knowable, which is why the estimates agree with each other at all.</t>
  </si>
  <si>
    <t xml:space="preserve">Outcome</t>
  </si>
  <si>
    <t xml:space="preserve">Study</t>
  </si>
  <si>
    <t xml:space="preserve">Year</t>
  </si>
  <si>
    <t xml:space="preserve">Role</t>
  </si>
  <si>
    <t xml:space="preserve">Design</t>
  </si>
  <si>
    <t xml:space="preserve">Country</t>
  </si>
  <si>
    <t xml:space="preserve">N</t>
  </si>
  <si>
    <t xml:space="preserve">Exposure contrast</t>
  </si>
  <si>
    <t xml:space="preserve">Native metric</t>
  </si>
  <si>
    <t xml:space="preserve">Multiplier</t>
  </si>
  <si>
    <t xml:space="preserve">95% LCL</t>
  </si>
  <si>
    <t xml:space="preserve">95% UCL</t>
  </si>
  <si>
    <t xml:space="preserve">Scale</t>
  </si>
  <si>
    <t xml:space="preserve">Mult. at 5 mg/L-N</t>
  </si>
  <si>
    <t xml:space="preserve">ln(mult5)</t>
  </si>
  <si>
    <t xml:space="preserve">SE(mult5)</t>
  </si>
  <si>
    <t xml:space="preserve">Inv-var wt</t>
  </si>
  <si>
    <t xml:space="preserve">In pool</t>
  </si>
  <si>
    <t xml:space="preserve">RE weight</t>
  </si>
  <si>
    <t xml:space="preserve">Notes</t>
  </si>
  <si>
    <t xml:space="preserve">k</t>
  </si>
  <si>
    <t xml:space="preserve">FE</t>
  </si>
  <si>
    <t xml:space="preserve">Q</t>
  </si>
  <si>
    <t xml:space="preserve">C</t>
  </si>
  <si>
    <t xml:space="preserve">tau^2</t>
  </si>
  <si>
    <t xml:space="preserve">I^2</t>
  </si>
  <si>
    <t xml:space="preserve">mu</t>
  </si>
  <si>
    <t xml:space="preserve">SE(mu)</t>
  </si>
  <si>
    <t xml:space="preserve">Preterm &lt;37wk</t>
  </si>
  <si>
    <t xml:space="preserve">Semprini</t>
  </si>
  <si>
    <t xml:space="preserve">Primary study</t>
  </si>
  <si>
    <t xml:space="preserve">Cohort (LPM, county FE)</t>
  </si>
  <si>
    <t xml:space="preserve">USA (Iowa)</t>
  </si>
  <si>
    <t xml:space="preserve">&gt;=5 vs &lt;=0.1 mg/L N</t>
  </si>
  <si>
    <t xml:space="preserve">RR from +1.036pp / 7.70% base</t>
  </si>
  <si>
    <t xml:space="preserve">cat5</t>
  </si>
  <si>
    <t xml:space="preserve">Table 2; Sidak-adjusted CI 0.132-1.940pp also significant</t>
  </si>
  <si>
    <t xml:space="preserve">&gt;0.1 to &lt;5 vs &lt;=0.1 mg/L N</t>
  </si>
  <si>
    <t xml:space="preserve">RR from +0.275pp / 7.70% base</t>
  </si>
  <si>
    <t xml:space="preserve">sub5</t>
  </si>
  <si>
    <t xml:space="preserve">Intermediate category - null</t>
  </si>
  <si>
    <t xml:space="preserve">Montoya</t>
  </si>
  <si>
    <t xml:space="preserve">Cohort (IV, water-system FE)</t>
  </si>
  <si>
    <t xml:space="preserve">USA (California)</t>
  </si>
  <si>
    <t xml:space="preserve">Any month 5-10 vs &lt;5 mg/L N, trimester 2</t>
  </si>
  <si>
    <t xml:space="preserve">RR from +0.012 / 0.08 mean</t>
  </si>
  <si>
    <t xml:space="preserve">Table 2 Panel B, full-gestation IV (preferred)</t>
  </si>
  <si>
    <t xml:space="preserve">Cohort (no IV)</t>
  </si>
  <si>
    <t xml:space="preserve">RR from +0.020 / 0.08 mean</t>
  </si>
  <si>
    <t xml:space="preserve">alt</t>
  </si>
  <si>
    <t xml:space="preserve">Non-instrumented specification</t>
  </si>
  <si>
    <t xml:space="preserve">Trimester 1 exposure 5-10 vs &lt;5 mg/L N</t>
  </si>
  <si>
    <t xml:space="preserve">RR from -0.006 / 0.08 mean</t>
  </si>
  <si>
    <t xml:space="preserve">Trimester 1 - inverse</t>
  </si>
  <si>
    <t xml:space="preserve">Sherris</t>
  </si>
  <si>
    <t xml:space="preserve">Primary study + in SR</t>
  </si>
  <si>
    <t xml:space="preserve">Cohort, within-mother</t>
  </si>
  <si>
    <t xml:space="preserve">5 to &lt;10 vs &lt;5 mg/L N (32-36wk)</t>
  </si>
  <si>
    <t xml:space="preserve">OR</t>
  </si>
  <si>
    <t xml:space="preserve">32-36wk spontaneous PTB. NOT all &lt;37wk - see caveat</t>
  </si>
  <si>
    <t xml:space="preserve">&gt;=10 vs &lt;5 mg/L N (32-36wk)</t>
  </si>
  <si>
    <t xml:space="preserve">high</t>
  </si>
  <si>
    <t xml:space="preserve">Above the MCL</t>
  </si>
  <si>
    <t xml:space="preserve">Huang</t>
  </si>
  <si>
    <t xml:space="preserve">In SR (Clemmensen 2023)</t>
  </si>
  <si>
    <t xml:space="preserve">Cohort</t>
  </si>
  <si>
    <t xml:space="preserve">Per 9.33 ppm nitrate (IQR)</t>
  </si>
  <si>
    <t xml:space="preserve">OR per 9.33 ppm</t>
  </si>
  <si>
    <t xml:space="preserve">perunit</t>
  </si>
  <si>
    <t xml:space="preserve">Unit assumed NO3 (= 2.107 mg/L N). Census-tract exposure</t>
  </si>
  <si>
    <t xml:space="preserve">Coffman</t>
  </si>
  <si>
    <t xml:space="preserve">Denmark</t>
  </si>
  <si>
    <t xml:space="preserve">Per 10 mg/L NO3 (= 2.258 mg/L N)</t>
  </si>
  <si>
    <t xml:space="preserve">OR per 10 mg/L NO3</t>
  </si>
  <si>
    <t xml:space="preserve">Moderate preterm, continuous model</t>
  </si>
  <si>
    <t xml:space="preserve">Sherris-cont</t>
  </si>
  <si>
    <t xml:space="preserve">Per 1 mg/L N (32-36wk)</t>
  </si>
  <si>
    <t xml:space="preserve">OR per 1 mg/L N</t>
  </si>
  <si>
    <t xml:space="preserve">Continuous version of the same study - do not pool with its categorical estimate</t>
  </si>
  <si>
    <t xml:space="preserve">POOLED (all eligible)</t>
  </si>
  <si>
    <t xml:space="preserve">pooled</t>
  </si>
  <si>
    <t xml:space="preserve">Very preterm &lt;32wk</t>
  </si>
  <si>
    <t xml:space="preserve">RR from +0.526pp / 1.14% base</t>
  </si>
  <si>
    <t xml:space="preserve">Table 2</t>
  </si>
  <si>
    <t xml:space="preserve">RR from +0.170pp / 1.14% base</t>
  </si>
  <si>
    <t xml:space="preserve">5 to &lt;10 vs &lt;5 mg/L N (20-31wk)</t>
  </si>
  <si>
    <t xml:space="preserve">20-31wk spontaneous PTB</t>
  </si>
  <si>
    <t xml:space="preserve">&gt;=10 vs &lt;5 mg/L N (20-31wk)</t>
  </si>
  <si>
    <t xml:space="preserve">Cohort, within-mother (no move)</t>
  </si>
  <si>
    <t xml:space="preserve">Siblings without maternal movement</t>
  </si>
  <si>
    <t xml:space="preserve">Cohort, individual-level</t>
  </si>
  <si>
    <t xml:space="preserve">Individual-level design</t>
  </si>
  <si>
    <t xml:space="preserve">Stayner</t>
  </si>
  <si>
    <t xml:space="preserve">Ecologic</t>
  </si>
  <si>
    <t xml:space="preserve">USA (OH/IN/IA/MO)</t>
  </si>
  <si>
    <t xml:space="preserve">Per 1 mg/L N</t>
  </si>
  <si>
    <t xml:space="preserve">RR per 1 mg/L N</t>
  </si>
  <si>
    <t xml:space="preserve">Ecologic design. Counties with &lt;20% private well users</t>
  </si>
  <si>
    <t xml:space="preserve">Per 1 mg/L N (20-31wk)</t>
  </si>
  <si>
    <t xml:space="preserve">Continuous version of the same study</t>
  </si>
  <si>
    <t xml:space="preserve">Low birthweight &lt;2500g</t>
  </si>
  <si>
    <t xml:space="preserve">RR from -0.254pp / 4.30% base</t>
  </si>
  <si>
    <t xml:space="preserve">Table 2 - null, point estimate below 1</t>
  </si>
  <si>
    <t xml:space="preserve">RR from +0.010 / 0.06 mean</t>
  </si>
  <si>
    <t xml:space="preserve">RR from +0.017 / 0.06 mean</t>
  </si>
  <si>
    <t xml:space="preserve">Very low birthweight &lt;1500g</t>
  </si>
  <si>
    <t xml:space="preserve">RR from +0.245pp / 0.64% base</t>
  </si>
  <si>
    <t xml:space="preserve">Table 2; p=0.052. Significant in Table 4 binary spec</t>
  </si>
  <si>
    <t xml:space="preserve">Ecologic design</t>
  </si>
  <si>
    <t xml:space="preserve">Stillbirth</t>
  </si>
  <si>
    <t xml:space="preserve">Thomsen</t>
  </si>
  <si>
    <t xml:space="preserve">&gt;25 mg/L NO3, nitratable-drug subgroup</t>
  </si>
  <si>
    <t xml:space="preserve">HR</t>
  </si>
  <si>
    <t xml:space="preserve">other</t>
  </si>
  <si>
    <t xml:space="preserve">Subgroup only; no overall association</t>
  </si>
  <si>
    <t xml:space="preserve">Birth defects - eye</t>
  </si>
  <si>
    <t xml:space="preserve">&gt;=25 mg/L NO3</t>
  </si>
  <si>
    <t xml:space="preserve">Eye defects; other defect groups null overall</t>
  </si>
  <si>
    <t xml:space="preserve">Birth defects - limb</t>
  </si>
  <si>
    <t xml:space="preserve">Blaisdell</t>
  </si>
  <si>
    <t xml:space="preserve">USA (Missouri)</t>
  </si>
  <si>
    <t xml:space="preserve">Limb deficiency. County-level exposure</t>
  </si>
  <si>
    <t xml:space="preserve">Childhood CNS cancer</t>
  </si>
  <si>
    <t xml:space="preserve">Case-control</t>
  </si>
  <si>
    <t xml:space="preserve">&gt;25 mg/L NO3</t>
  </si>
  <si>
    <t xml:space="preserve">Not significant. Leukemia and lymphoma null</t>
  </si>
  <si>
    <t xml:space="preserve">Childhood brain tumour</t>
  </si>
  <si>
    <t xml:space="preserve">Zumel-Marne</t>
  </si>
  <si>
    <t xml:space="preserve">Italy/Spain/Korea</t>
  </si>
  <si>
    <t xml:space="preserve">Third vs first tertile</t>
  </si>
  <si>
    <t xml:space="preserve">Not significant; 85 cases</t>
  </si>
  <si>
    <t xml:space="preserve">Pooled multipliers by outcome and by study set</t>
  </si>
  <si>
    <t xml:space="preserve">All estimates on a common contrast: roughly 5 to 10 mg/L nitrate-N versus below 5 (or near zero). Studies reporting per-unit estimates are rescaled to a 5 mg/L-N increment by log-linear extrapolation - see the 'Scale and overlap' sheet for what that assumption costs. DerSimonian-Laird random effects.</t>
  </si>
  <si>
    <t xml:space="preserve">Study set</t>
  </si>
  <si>
    <t xml:space="preserve">Studies included</t>
  </si>
  <si>
    <t xml:space="preserve">Pooled multiplier</t>
  </si>
  <si>
    <t xml:space="preserve">Flag</t>
  </si>
  <si>
    <t xml:space="preserve">1. Semprini + Montoya + Sherris</t>
  </si>
  <si>
    <t xml:space="preserve">Semprini 2026, Montoya 2025, Sherris 2021</t>
  </si>
  <si>
    <t xml:space="preserve">2. SR evidence base (Clemmensen)</t>
  </si>
  <si>
    <t xml:space="preserve">Huang 2018, Coffman 2022</t>
  </si>
  <si>
    <t xml:space="preserve">3. Semprini + SR</t>
  </si>
  <si>
    <t xml:space="preserve">Semprini 2026, Huang 2018, Coffman 2022</t>
  </si>
  <si>
    <t xml:space="preserve">4. Montoya + SR</t>
  </si>
  <si>
    <t xml:space="preserve">Montoya 2025, Huang 2018, Coffman 2022</t>
  </si>
  <si>
    <t xml:space="preserve">5. Sherris + SR</t>
  </si>
  <si>
    <t xml:space="preserve">Sherris 2021, Huang 2018, Coffman 2022</t>
  </si>
  <si>
    <t xml:space="preserve">Sherris is INSIDE the SR. SR set shown here excludes it to avoid double counting.</t>
  </si>
  <si>
    <t xml:space="preserve">6. All studies combined</t>
  </si>
  <si>
    <t xml:space="preserve">Semprini 2026, Montoya 2025, Sherris 2021, Huang 2018, Coffman 2022</t>
  </si>
  <si>
    <t xml:space="preserve">Semprini 2026, Sherris 2021</t>
  </si>
  <si>
    <t xml:space="preserve">Stayner 2017</t>
  </si>
  <si>
    <t xml:space="preserve">Semprini 2026, Stayner 2017</t>
  </si>
  <si>
    <t xml:space="preserve">Sherris 2021, Stayner 2017</t>
  </si>
  <si>
    <t xml:space="preserve">Semprini 2026, Sherris 2021, Stayner 2017</t>
  </si>
  <si>
    <t xml:space="preserve">Semprini 2026, Montoya 2025</t>
  </si>
  <si>
    <t xml:space="preserve">none</t>
  </si>
  <si>
    <t xml:space="preserve">Semprini 2026</t>
  </si>
  <si>
    <t xml:space="preserve">Montoya 2025</t>
  </si>
  <si>
    <t xml:space="preserve">Helper ranges below: ln(multiplier at 5 mg/L-N) and its SE, pulled from the 'Study multipliers' sheet.</t>
  </si>
  <si>
    <t xml:space="preserve">Semprini, Montoya and Sherris side by side</t>
  </si>
  <si>
    <t xml:space="preserve">The three studies you asked to pool. All three contrast roughly 5 to 10 mg/L nitrate-N against below 5, all three are large US administrative-data analyses, and all three were designed to isolate within-area or within-mother variation. That is an unusually well-matched set.</t>
  </si>
  <si>
    <t xml:space="preserve">Semprini 2026 (Iowa)</t>
  </si>
  <si>
    <t xml:space="preserve">Montoya 2025 (California)</t>
  </si>
  <si>
    <t xml:space="preserve">Sherris 2021 (California)</t>
  </si>
  <si>
    <t xml:space="preserve">Pooled</t>
  </si>
  <si>
    <t xml:space="preserve">95% CI</t>
  </si>
  <si>
    <t xml:space="preserve">not reported</t>
  </si>
  <si>
    <t xml:space="preserve">Sherris reports spontaneous preterm birth in two strata, 20-31 weeks and 32-36 weeks, not a single &lt;37 week estimate. The 32-36 week figure is used in the 'Preterm &lt;37wk' row because it covers the large majority of preterm births, and the 20-31 week figure in the 'Very preterm' row. This is a mapping, not an exact match, and it is the single biggest judgement call in this workbook.</t>
  </si>
  <si>
    <t xml:space="preserve">Semprini and Montoya report linear-probability marginal effects in percentage points. These are converted to multipliers as 1 + (effect / baseline rate), using each paper's own reported baseline. The conversion is exact for the point estimate and treats the confidence limits the same way.</t>
  </si>
  <si>
    <t xml:space="preserve">The very preterm result is the striking one: Semprini 1.46 in Iowa, Sherris 1.47 in California, and Stayner 1.47 across four Midwestern states once rescaled. Three designs, three populations, essentially one number, and zero measurable heterogeneity.</t>
  </si>
  <si>
    <t xml:space="preserve">Low birthweight is where the three disagree: Semprini is slightly below 1 and Montoya is clearly above it, with I-squared of 87%. Do not present low birthweight as a settled finding.</t>
  </si>
  <si>
    <t xml:space="preserve">Two things that change the answer</t>
  </si>
  <si>
    <t xml:space="preserve">A. The rescaling assumption</t>
  </si>
  <si>
    <t xml:space="preserve">Studies reporting a per-unit effect have to be stretched to the 5 mg/L-N contrast the categorical studies use. That is log-linear extrapolation - the same assumption that turns odds ratios of 1.14 into Picetti's 1.91 for gastric cancer. Here is exactly what it does to each estimate.</t>
  </si>
  <si>
    <t xml:space="preserve">Native estimate</t>
  </si>
  <si>
    <t xml:space="preserve">Native unit</t>
  </si>
  <si>
    <t xml:space="preserve">mg/L-N per unit</t>
  </si>
  <si>
    <t xml:space="preserve">Exponent applied</t>
  </si>
  <si>
    <t xml:space="preserve">Rescaled to 5 mg/L-N</t>
  </si>
  <si>
    <t xml:space="preserve">Change</t>
  </si>
  <si>
    <t xml:space="preserve">Huang 2018</t>
  </si>
  <si>
    <t xml:space="preserve">Coffman 2022</t>
  </si>
  <si>
    <t xml:space="preserve">Sherris-cont 2021</t>
  </si>
  <si>
    <t xml:space="preserve">Stayner's very-low-birthweight estimate more than doubles under this transformation, from 1.17 to 2.19. Treat the rescaled Stayner figures as illustrative only. The three-study pool does not depend on any rescaling - all three report a categorical 5-10 mg/L contrast directly.</t>
  </si>
  <si>
    <t xml:space="preserve">B. Sherris appears twice</t>
  </si>
  <si>
    <t xml:space="preserve">Sherris 2021 is one of the 13 studies in the Clemmensen review. Pooling 'Sherris' against 'the SR' therefore counts it on both sides unless the SR set is stripped of it first - the exact error the Cochrane protocol identified in Essien and Picetti. Row 5 of the 'Pooled comparisons' sheet uses the stripped SR set. For reference, the same comparison done naively is shown below.</t>
  </si>
  <si>
    <t xml:space="preserve">Comparison</t>
  </si>
  <si>
    <t xml:space="preserve">Naive: Sherris counted twice (itself + inside the SR)</t>
  </si>
  <si>
    <t xml:space="preserve">Corrected: Sherris stripped from the SR set</t>
  </si>
  <si>
    <t xml:space="preserve">Continuous birth weight - not a multiplier</t>
  </si>
  <si>
    <t xml:space="preserve">Birth weight is measured in grams, so it has no relative-risk form and cannot be pooled with the multipliers. Reported here for completeness.</t>
  </si>
  <si>
    <t xml:space="preserve">Contrast</t>
  </si>
  <si>
    <t xml:space="preserve">Effect (g)</t>
  </si>
  <si>
    <t xml:space="preserve">Note</t>
  </si>
  <si>
    <t xml:space="preserve">Table 2 Panel B IV; SE 6.493</t>
  </si>
  <si>
    <t xml:space="preserve">Per 25 mg/L NO3</t>
  </si>
  <si>
    <t xml:space="preserve">In SR; no association with term LBW</t>
  </si>
  <si>
    <t xml:space="preserve">Both point the same way: more nitrate, slightly lower birth weight. Montoya's 15 g is about 0.47% of mean birth weight.</t>
  </si>
</sst>
</file>

<file path=xl/styles.xml><?xml version="1.0" encoding="utf-8"?>
<styleSheet xmlns="http://schemas.openxmlformats.org/spreadsheetml/2006/main">
  <numFmts count="7">
    <numFmt numFmtId="164" formatCode="General"/>
    <numFmt numFmtId="165" formatCode="#,##0"/>
    <numFmt numFmtId="166" formatCode="0.000"/>
    <numFmt numFmtId="167" formatCode="0.0%"/>
    <numFmt numFmtId="168" formatCode="General"/>
    <numFmt numFmtId="169" formatCode="\+0.0%;\-0.0%"/>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b val="true"/>
      <sz val="10"/>
      <color rgb="FF9C0006"/>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808080"/>
        <bgColor rgb="FF969696"/>
      </patternFill>
    </fill>
    <fill>
      <patternFill patternType="solid">
        <fgColor rgb="FFD9E2F3"/>
        <bgColor rgb="FFD9D9D9"/>
      </patternFill>
    </fill>
    <fill>
      <patternFill patternType="solid">
        <fgColor rgb="FFFFF2CC"/>
        <bgColor rgb="FFFCE4E4"/>
      </patternFill>
    </fill>
    <fill>
      <patternFill patternType="solid">
        <fgColor rgb="FFE2EFDA"/>
        <bgColor rgb="FFD9E2F3"/>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6" fontId="8" fillId="5" borderId="0" xfId="0" applyFont="true" applyBorder="false" applyAlignment="false" applyProtection="false">
      <alignment horizontal="general"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8"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67" fontId="0" fillId="6" borderId="1"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8" fontId="0" fillId="7" borderId="1" xfId="0" applyFont="false" applyBorder="true" applyAlignment="false" applyProtection="fals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7" fontId="0" fillId="7" borderId="1" xfId="0" applyFont="fals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7" fontId="8" fillId="6"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55.5" hidden="false" customHeight="true" outlineLevel="0" collapsed="false">
      <c r="A5" s="5" t="s">
        <v>3</v>
      </c>
    </row>
    <row r="6" customFormat="false" ht="42" hidden="false" customHeight="true" outlineLevel="0" collapsed="false">
      <c r="A6" s="5" t="s">
        <v>4</v>
      </c>
    </row>
    <row r="7" customFormat="false" ht="15" hidden="false" customHeight="false" outlineLevel="0" collapsed="false">
      <c r="A7" s="3"/>
    </row>
    <row r="8" customFormat="false" ht="15" hidden="false" customHeight="false" outlineLevel="0" collapsed="false">
      <c r="A8" s="4" t="s">
        <v>5</v>
      </c>
    </row>
    <row r="9" customFormat="false" ht="27.75" hidden="false" customHeight="true" outlineLevel="0" collapsed="false">
      <c r="A9" s="3" t="s">
        <v>6</v>
      </c>
    </row>
    <row r="10" customFormat="false" ht="27.75" hidden="false" customHeight="true" outlineLevel="0" collapsed="false">
      <c r="A10" s="3" t="s">
        <v>7</v>
      </c>
    </row>
    <row r="11" customFormat="false" ht="27.75" hidden="false" customHeight="true" outlineLevel="0" collapsed="false">
      <c r="A11" s="3" t="s">
        <v>8</v>
      </c>
    </row>
    <row r="12" customFormat="false" ht="27.75" hidden="false" customHeight="true" outlineLevel="0" collapsed="false">
      <c r="A12" s="3"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4" t="s">
        <v>11</v>
      </c>
    </row>
    <row r="16" customFormat="false" ht="55.5" hidden="false" customHeight="true" outlineLevel="0" collapsed="false">
      <c r="A16" s="3" t="s">
        <v>12</v>
      </c>
    </row>
    <row r="17" customFormat="false" ht="42" hidden="false" customHeight="true" outlineLevel="0" collapsed="false">
      <c r="A17" s="3" t="s">
        <v>13</v>
      </c>
    </row>
    <row r="18" customFormat="false" ht="55.5" hidden="false" customHeight="true" outlineLevel="0" collapsed="false">
      <c r="A18" s="3" t="s">
        <v>14</v>
      </c>
    </row>
    <row r="19" customFormat="false" ht="84" hidden="false" customHeight="true" outlineLevel="0" collapsed="false">
      <c r="A19" s="3" t="s">
        <v>15</v>
      </c>
    </row>
    <row r="20" customFormat="false" ht="15" hidden="false" customHeight="false" outlineLevel="0" collapsed="false">
      <c r="A20" s="3"/>
    </row>
    <row r="21" customFormat="false" ht="15" hidden="false" customHeight="false" outlineLevel="0" collapsed="false">
      <c r="A21" s="4" t="s">
        <v>16</v>
      </c>
    </row>
    <row r="22" customFormat="false" ht="42" hidden="false" customHeight="true" outlineLevel="0" collapsed="false">
      <c r="A22" s="3" t="s">
        <v>17</v>
      </c>
    </row>
    <row r="23" customFormat="false" ht="42" hidden="false" customHeight="true" outlineLevel="0" collapsed="false">
      <c r="A23" s="3" t="s">
        <v>18</v>
      </c>
    </row>
    <row r="24" customFormat="false" ht="42" hidden="false" customHeight="true" outlineLevel="0" collapsed="false">
      <c r="A24" s="3" t="s">
        <v>19</v>
      </c>
    </row>
    <row r="25" customFormat="false" ht="42" hidden="false" customHeight="true" outlineLevel="0" collapsed="false">
      <c r="A25" s="3" t="s">
        <v>20</v>
      </c>
    </row>
    <row r="26" customFormat="false" ht="27.75" hidden="false" customHeight="true" outlineLevel="0" collapsed="false">
      <c r="A26" s="3" t="s">
        <v>21</v>
      </c>
    </row>
    <row r="27" customFormat="false" ht="42" hidden="false" customHeight="true" outlineLevel="0" collapsed="false">
      <c r="A27" s="3" t="s">
        <v>22</v>
      </c>
    </row>
    <row r="28" customFormat="false" ht="15" hidden="false" customHeight="false" outlineLevel="0" collapsed="false">
      <c r="A28" s="3"/>
    </row>
    <row r="29" customFormat="false" ht="15" hidden="false" customHeight="false" outlineLevel="0" collapsed="false">
      <c r="A29" s="4" t="s">
        <v>23</v>
      </c>
    </row>
    <row r="30" customFormat="false" ht="42" hidden="false" customHeight="true" outlineLevel="0" collapsed="false">
      <c r="A30" s="3" t="s">
        <v>24</v>
      </c>
    </row>
    <row r="31" customFormat="false" ht="42" hidden="false" customHeight="true" outlineLevel="0" collapsed="false">
      <c r="A31" s="3" t="s">
        <v>25</v>
      </c>
    </row>
    <row r="32" customFormat="false" ht="55.5" hidden="false" customHeight="true" outlineLevel="0" collapsed="false">
      <c r="A32"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6"/>
    <col collapsed="false" customWidth="true" hidden="false" outlineLevel="0" max="4" min="4" style="0" width="20"/>
    <col collapsed="false" customWidth="true" hidden="false" outlineLevel="0" max="5" min="5" style="0" width="24"/>
    <col collapsed="false" customWidth="true" hidden="false" outlineLevel="0" max="6" min="6" style="0" width="18"/>
    <col collapsed="false" customWidth="true" hidden="false" outlineLevel="0" max="7" min="7" style="0" width="11"/>
    <col collapsed="false" customWidth="true" hidden="false" outlineLevel="0" max="8" min="8" style="0" width="34"/>
    <col collapsed="false" customWidth="true" hidden="false" outlineLevel="0" max="9" min="9" style="0" width="24"/>
    <col collapsed="false" customWidth="true" hidden="false" outlineLevel="0" max="12" min="10" style="0" width="10"/>
    <col collapsed="false" customWidth="true" hidden="false" outlineLevel="0" max="13" min="13" style="0" width="9"/>
    <col collapsed="false" customWidth="true" hidden="false" outlineLevel="0" max="14" min="14" style="0" width="13"/>
    <col collapsed="false" customWidth="true" hidden="false" outlineLevel="0" max="17" min="15" style="0" width="11"/>
    <col collapsed="false" customWidth="true" hidden="false" outlineLevel="0" max="18" min="18" style="0" width="8"/>
    <col collapsed="false" customWidth="true" hidden="false" outlineLevel="0" max="19" min="19" style="0" width="11"/>
    <col collapsed="false" customWidth="true" hidden="false" outlineLevel="0" max="20" min="20" style="0" width="46"/>
    <col collapsed="false" customWidth="true" hidden="false" outlineLevel="0" max="28" min="21" style="0" width="9"/>
  </cols>
  <sheetData>
    <row r="1" customFormat="false" ht="43.5" hidden="false" customHeight="true" outlineLevel="0" collapsed="false">
      <c r="A1" s="6" t="s">
        <v>27</v>
      </c>
      <c r="B1" s="6" t="s">
        <v>28</v>
      </c>
      <c r="C1" s="6" t="s">
        <v>29</v>
      </c>
      <c r="D1" s="6" t="s">
        <v>30</v>
      </c>
      <c r="E1" s="6" t="s">
        <v>31</v>
      </c>
      <c r="F1" s="6" t="s">
        <v>32</v>
      </c>
      <c r="G1" s="6" t="s">
        <v>33</v>
      </c>
      <c r="H1" s="6" t="s">
        <v>34</v>
      </c>
      <c r="I1" s="6" t="s">
        <v>35</v>
      </c>
      <c r="J1" s="6" t="s">
        <v>36</v>
      </c>
      <c r="K1" s="6" t="s">
        <v>37</v>
      </c>
      <c r="L1" s="6" t="s">
        <v>38</v>
      </c>
      <c r="M1" s="6" t="s">
        <v>39</v>
      </c>
      <c r="N1" s="6" t="s">
        <v>40</v>
      </c>
      <c r="O1" s="6" t="s">
        <v>41</v>
      </c>
      <c r="P1" s="6" t="s">
        <v>42</v>
      </c>
      <c r="Q1" s="6" t="s">
        <v>43</v>
      </c>
      <c r="R1" s="6" t="s">
        <v>44</v>
      </c>
      <c r="S1" s="6" t="s">
        <v>45</v>
      </c>
      <c r="T1" s="6" t="s">
        <v>46</v>
      </c>
      <c r="U1" s="7" t="s">
        <v>47</v>
      </c>
      <c r="V1" s="7" t="s">
        <v>48</v>
      </c>
      <c r="W1" s="7" t="s">
        <v>49</v>
      </c>
      <c r="X1" s="7" t="s">
        <v>50</v>
      </c>
      <c r="Y1" s="7" t="s">
        <v>51</v>
      </c>
      <c r="Z1" s="7" t="s">
        <v>52</v>
      </c>
      <c r="AA1" s="7" t="s">
        <v>53</v>
      </c>
      <c r="AB1" s="7" t="s">
        <v>54</v>
      </c>
    </row>
    <row r="2" customFormat="false" ht="15" hidden="false" customHeight="false" outlineLevel="0" collapsed="false">
      <c r="A2" s="8" t="s">
        <v>55</v>
      </c>
      <c r="B2" s="9"/>
      <c r="C2" s="9"/>
      <c r="D2" s="9"/>
      <c r="E2" s="9"/>
      <c r="F2" s="9"/>
      <c r="G2" s="9"/>
      <c r="H2" s="9"/>
      <c r="I2" s="9"/>
      <c r="J2" s="9"/>
      <c r="K2" s="9"/>
      <c r="L2" s="9"/>
      <c r="M2" s="9"/>
      <c r="N2" s="9"/>
      <c r="O2" s="9"/>
      <c r="P2" s="9"/>
      <c r="Q2" s="9"/>
      <c r="R2" s="9"/>
      <c r="S2" s="9"/>
      <c r="T2" s="9"/>
    </row>
    <row r="3" customFormat="false" ht="15" hidden="false" customHeight="false" outlineLevel="0" collapsed="false">
      <c r="A3" s="10" t="s">
        <v>55</v>
      </c>
      <c r="B3" s="10" t="s">
        <v>56</v>
      </c>
      <c r="C3" s="10" t="n">
        <v>2026</v>
      </c>
      <c r="D3" s="10" t="s">
        <v>57</v>
      </c>
      <c r="E3" s="10" t="s">
        <v>58</v>
      </c>
      <c r="F3" s="10" t="s">
        <v>59</v>
      </c>
      <c r="G3" s="11" t="n">
        <v>113328</v>
      </c>
      <c r="H3" s="10" t="s">
        <v>60</v>
      </c>
      <c r="I3" s="10" t="s">
        <v>61</v>
      </c>
      <c r="J3" s="12" t="n">
        <v>1.1346</v>
      </c>
      <c r="K3" s="12" t="n">
        <v>1.0317</v>
      </c>
      <c r="L3" s="12" t="n">
        <v>1.2374</v>
      </c>
      <c r="M3" s="10" t="s">
        <v>62</v>
      </c>
      <c r="N3" s="13" t="n">
        <f aca="false">EXP(LN(J3)*1)</f>
        <v>1.1346</v>
      </c>
      <c r="O3" s="13" t="n">
        <f aca="false">LN(J3)*1</f>
        <v>0.12628016591033</v>
      </c>
      <c r="P3" s="13" t="n">
        <f aca="false">((LN(L3)-LN(K3))/(2*1.959964))*1</f>
        <v>0.0463795449790298</v>
      </c>
      <c r="Q3" s="13" t="n">
        <f aca="false">IF(P3&gt;0,1/P3^2,0)</f>
        <v>464.886605094166</v>
      </c>
      <c r="R3" s="14" t="n">
        <v>1</v>
      </c>
      <c r="S3" s="13" t="n">
        <f aca="false">IF(AND(R3=1,P3&gt;0),1/(P3^2+$Y$13),0)</f>
        <v>382.237009917385</v>
      </c>
      <c r="T3" s="15" t="s">
        <v>63</v>
      </c>
    </row>
    <row r="4" customFormat="false" ht="15" hidden="false" customHeight="false" outlineLevel="0" collapsed="false">
      <c r="A4" s="10" t="s">
        <v>55</v>
      </c>
      <c r="B4" s="10" t="s">
        <v>56</v>
      </c>
      <c r="C4" s="10" t="n">
        <v>2026</v>
      </c>
      <c r="D4" s="10" t="s">
        <v>57</v>
      </c>
      <c r="E4" s="10" t="s">
        <v>58</v>
      </c>
      <c r="F4" s="10" t="s">
        <v>59</v>
      </c>
      <c r="G4" s="11" t="n">
        <v>113328</v>
      </c>
      <c r="H4" s="10" t="s">
        <v>64</v>
      </c>
      <c r="I4" s="10" t="s">
        <v>65</v>
      </c>
      <c r="J4" s="12" t="n">
        <v>1.0357</v>
      </c>
      <c r="K4" s="12" t="n">
        <v>0.9547</v>
      </c>
      <c r="L4" s="12" t="n">
        <v>1.1167</v>
      </c>
      <c r="M4" s="10" t="s">
        <v>66</v>
      </c>
      <c r="N4" s="14"/>
      <c r="O4" s="13"/>
      <c r="P4" s="13"/>
      <c r="Q4" s="13"/>
      <c r="R4" s="14" t="n">
        <v>0</v>
      </c>
      <c r="S4" s="13" t="n">
        <f aca="false">IF(AND(R4=1,P4&gt;0),1/(P4^2+$Y$13),0)</f>
        <v>0</v>
      </c>
      <c r="T4" s="15" t="s">
        <v>67</v>
      </c>
    </row>
    <row r="5" customFormat="false" ht="15" hidden="false" customHeight="false" outlineLevel="0" collapsed="false">
      <c r="A5" s="10" t="s">
        <v>55</v>
      </c>
      <c r="B5" s="10" t="s">
        <v>68</v>
      </c>
      <c r="C5" s="10" t="n">
        <v>2025</v>
      </c>
      <c r="D5" s="10" t="s">
        <v>57</v>
      </c>
      <c r="E5" s="10" t="s">
        <v>69</v>
      </c>
      <c r="F5" s="10" t="s">
        <v>70</v>
      </c>
      <c r="G5" s="11" t="n">
        <v>338962</v>
      </c>
      <c r="H5" s="10" t="s">
        <v>71</v>
      </c>
      <c r="I5" s="10" t="s">
        <v>72</v>
      </c>
      <c r="J5" s="12" t="n">
        <v>1.15</v>
      </c>
      <c r="K5" s="12" t="n">
        <v>1.052</v>
      </c>
      <c r="L5" s="12" t="n">
        <v>1.248</v>
      </c>
      <c r="M5" s="10" t="s">
        <v>62</v>
      </c>
      <c r="N5" s="13" t="n">
        <f aca="false">EXP(LN(J5)*1)</f>
        <v>1.15</v>
      </c>
      <c r="O5" s="13" t="n">
        <f aca="false">LN(J5)*1</f>
        <v>0.139761942375159</v>
      </c>
      <c r="P5" s="13" t="n">
        <f aca="false">((LN(L5)-LN(K5))/(2*1.959964))*1</f>
        <v>0.0435847688099674</v>
      </c>
      <c r="Q5" s="13" t="n">
        <f aca="false">IF(P5&gt;0,1/P5^2,0)</f>
        <v>526.417728266846</v>
      </c>
      <c r="R5" s="14" t="n">
        <v>1</v>
      </c>
      <c r="S5" s="13" t="n">
        <f aca="false">IF(AND(R5=1,P5&gt;0),1/(P5^2+$Y$13),0)</f>
        <v>422.878088044968</v>
      </c>
      <c r="T5" s="15" t="s">
        <v>73</v>
      </c>
    </row>
    <row r="6" customFormat="false" ht="15" hidden="false" customHeight="false" outlineLevel="0" collapsed="false">
      <c r="A6" s="10" t="s">
        <v>55</v>
      </c>
      <c r="B6" s="10" t="s">
        <v>68</v>
      </c>
      <c r="C6" s="10" t="n">
        <v>2025</v>
      </c>
      <c r="D6" s="10" t="s">
        <v>57</v>
      </c>
      <c r="E6" s="10" t="s">
        <v>74</v>
      </c>
      <c r="F6" s="10" t="s">
        <v>70</v>
      </c>
      <c r="G6" s="11" t="n">
        <v>338962</v>
      </c>
      <c r="H6" s="10" t="s">
        <v>71</v>
      </c>
      <c r="I6" s="10" t="s">
        <v>75</v>
      </c>
      <c r="J6" s="12" t="n">
        <v>1.25</v>
      </c>
      <c r="K6" s="12" t="n">
        <v>1.1275</v>
      </c>
      <c r="L6" s="12" t="n">
        <v>1.3725</v>
      </c>
      <c r="M6" s="10" t="s">
        <v>76</v>
      </c>
      <c r="N6" s="14"/>
      <c r="O6" s="13"/>
      <c r="P6" s="13"/>
      <c r="Q6" s="13"/>
      <c r="R6" s="14" t="n">
        <v>0</v>
      </c>
      <c r="S6" s="13" t="n">
        <f aca="false">IF(AND(R6=1,P6&gt;0),1/(P6^2+$Y$13),0)</f>
        <v>0</v>
      </c>
      <c r="T6" s="15" t="s">
        <v>77</v>
      </c>
    </row>
    <row r="7" customFormat="false" ht="15" hidden="false" customHeight="false" outlineLevel="0" collapsed="false">
      <c r="A7" s="10" t="s">
        <v>55</v>
      </c>
      <c r="B7" s="10" t="s">
        <v>68</v>
      </c>
      <c r="C7" s="10" t="n">
        <v>2025</v>
      </c>
      <c r="D7" s="10" t="s">
        <v>57</v>
      </c>
      <c r="E7" s="10" t="s">
        <v>69</v>
      </c>
      <c r="F7" s="10" t="s">
        <v>70</v>
      </c>
      <c r="G7" s="11" t="n">
        <v>338962</v>
      </c>
      <c r="H7" s="10" t="s">
        <v>78</v>
      </c>
      <c r="I7" s="10" t="s">
        <v>79</v>
      </c>
      <c r="J7" s="12" t="n">
        <v>0.925</v>
      </c>
      <c r="K7" s="12" t="n">
        <v>0.876</v>
      </c>
      <c r="L7" s="12" t="n">
        <v>0.974</v>
      </c>
      <c r="M7" s="10" t="s">
        <v>76</v>
      </c>
      <c r="N7" s="14"/>
      <c r="O7" s="13"/>
      <c r="P7" s="13"/>
      <c r="Q7" s="13"/>
      <c r="R7" s="14" t="n">
        <v>0</v>
      </c>
      <c r="S7" s="13" t="n">
        <f aca="false">IF(AND(R7=1,P7&gt;0),1/(P7^2+$Y$13),0)</f>
        <v>0</v>
      </c>
      <c r="T7" s="15" t="s">
        <v>80</v>
      </c>
    </row>
    <row r="8" customFormat="false" ht="15" hidden="false" customHeight="false" outlineLevel="0" collapsed="false">
      <c r="A8" s="10" t="s">
        <v>55</v>
      </c>
      <c r="B8" s="10" t="s">
        <v>81</v>
      </c>
      <c r="C8" s="10" t="n">
        <v>2021</v>
      </c>
      <c r="D8" s="10" t="s">
        <v>82</v>
      </c>
      <c r="E8" s="10" t="s">
        <v>83</v>
      </c>
      <c r="F8" s="10" t="s">
        <v>70</v>
      </c>
      <c r="G8" s="11" t="n">
        <v>1443318</v>
      </c>
      <c r="H8" s="10" t="s">
        <v>84</v>
      </c>
      <c r="I8" s="10" t="s">
        <v>85</v>
      </c>
      <c r="J8" s="12" t="n">
        <v>1.08</v>
      </c>
      <c r="K8" s="12" t="n">
        <v>1.02</v>
      </c>
      <c r="L8" s="12" t="n">
        <v>1.15</v>
      </c>
      <c r="M8" s="10" t="s">
        <v>62</v>
      </c>
      <c r="N8" s="13" t="n">
        <f aca="false">EXP(LN(J8)*1)</f>
        <v>1.08</v>
      </c>
      <c r="O8" s="13" t="n">
        <f aca="false">LN(J8)*1</f>
        <v>0.0769610411361284</v>
      </c>
      <c r="P8" s="13" t="n">
        <f aca="false">((LN(L8)-LN(K8))/(2*1.959964))*1</f>
        <v>0.0306024281769917</v>
      </c>
      <c r="Q8" s="13" t="n">
        <f aca="false">IF(P8&gt;0,1/P8^2,0)</f>
        <v>1067.79584188749</v>
      </c>
      <c r="R8" s="14" t="n">
        <v>1</v>
      </c>
      <c r="S8" s="13" t="n">
        <f aca="false">IF(AND(R8=1,P8&gt;0),1/(P8^2+$Y$13),0)</f>
        <v>713.4579649333</v>
      </c>
      <c r="T8" s="15" t="s">
        <v>86</v>
      </c>
    </row>
    <row r="9" customFormat="false" ht="15" hidden="false" customHeight="false" outlineLevel="0" collapsed="false">
      <c r="A9" s="10" t="s">
        <v>55</v>
      </c>
      <c r="B9" s="10" t="s">
        <v>81</v>
      </c>
      <c r="C9" s="10" t="n">
        <v>2021</v>
      </c>
      <c r="D9" s="10" t="s">
        <v>82</v>
      </c>
      <c r="E9" s="10" t="s">
        <v>83</v>
      </c>
      <c r="F9" s="10" t="s">
        <v>70</v>
      </c>
      <c r="G9" s="11" t="n">
        <v>1443318</v>
      </c>
      <c r="H9" s="10" t="s">
        <v>87</v>
      </c>
      <c r="I9" s="10" t="s">
        <v>85</v>
      </c>
      <c r="J9" s="12" t="n">
        <v>1.05</v>
      </c>
      <c r="K9" s="12" t="n">
        <v>0.85</v>
      </c>
      <c r="L9" s="12" t="n">
        <v>1.31</v>
      </c>
      <c r="M9" s="10" t="s">
        <v>88</v>
      </c>
      <c r="N9" s="14"/>
      <c r="O9" s="13"/>
      <c r="P9" s="13"/>
      <c r="Q9" s="13"/>
      <c r="R9" s="14" t="n">
        <v>0</v>
      </c>
      <c r="S9" s="13" t="n">
        <f aca="false">IF(AND(R9=1,P9&gt;0),1/(P9^2+$Y$13),0)</f>
        <v>0</v>
      </c>
      <c r="T9" s="15" t="s">
        <v>89</v>
      </c>
    </row>
    <row r="10" customFormat="false" ht="15" hidden="false" customHeight="false" outlineLevel="0" collapsed="false">
      <c r="A10" s="10" t="s">
        <v>55</v>
      </c>
      <c r="B10" s="10" t="s">
        <v>90</v>
      </c>
      <c r="C10" s="10" t="n">
        <v>2018</v>
      </c>
      <c r="D10" s="10" t="s">
        <v>91</v>
      </c>
      <c r="E10" s="10" t="s">
        <v>92</v>
      </c>
      <c r="F10" s="10" t="s">
        <v>70</v>
      </c>
      <c r="G10" s="11" t="n">
        <v>1448600</v>
      </c>
      <c r="H10" s="10" t="s">
        <v>93</v>
      </c>
      <c r="I10" s="10" t="s">
        <v>94</v>
      </c>
      <c r="J10" s="12" t="n">
        <v>1.02</v>
      </c>
      <c r="K10" s="12" t="n">
        <v>1.01</v>
      </c>
      <c r="L10" s="12" t="n">
        <v>1.03</v>
      </c>
      <c r="M10" s="10" t="s">
        <v>95</v>
      </c>
      <c r="N10" s="13" t="n">
        <f aca="false">EXP(LN(J10)*2.37281700835232)</f>
        <v>1.04810944307184</v>
      </c>
      <c r="O10" s="13" t="n">
        <f aca="false">LN(J10)*2.37281700835232</f>
        <v>0.0469880108584371</v>
      </c>
      <c r="P10" s="13" t="n">
        <f aca="false">((LN(L10)-LN(K10))/(2*1.959964))*2.37281700835232</f>
        <v>0.0118694308717224</v>
      </c>
      <c r="Q10" s="13" t="n">
        <f aca="false">IF(P10&gt;0,1/P10^2,0)</f>
        <v>7098.06887487908</v>
      </c>
      <c r="R10" s="14" t="n">
        <v>1</v>
      </c>
      <c r="S10" s="13" t="n">
        <f aca="false">IF(AND(R10=1,P10&gt;0),1/(P10^2+$Y$13),0)</f>
        <v>1650.16760365298</v>
      </c>
      <c r="T10" s="15" t="s">
        <v>96</v>
      </c>
    </row>
    <row r="11" customFormat="false" ht="15" hidden="false" customHeight="false" outlineLevel="0" collapsed="false">
      <c r="A11" s="10" t="s">
        <v>55</v>
      </c>
      <c r="B11" s="10" t="s">
        <v>97</v>
      </c>
      <c r="C11" s="10" t="n">
        <v>2022</v>
      </c>
      <c r="D11" s="10" t="s">
        <v>91</v>
      </c>
      <c r="E11" s="10" t="s">
        <v>92</v>
      </c>
      <c r="F11" s="10" t="s">
        <v>98</v>
      </c>
      <c r="G11" s="11" t="n">
        <v>1009189</v>
      </c>
      <c r="H11" s="10" t="s">
        <v>99</v>
      </c>
      <c r="I11" s="10" t="s">
        <v>100</v>
      </c>
      <c r="J11" s="12" t="n">
        <v>1.02</v>
      </c>
      <c r="K11" s="12" t="n">
        <v>1</v>
      </c>
      <c r="L11" s="12" t="n">
        <v>1.03</v>
      </c>
      <c r="M11" s="10" t="s">
        <v>95</v>
      </c>
      <c r="N11" s="13" t="n">
        <f aca="false">EXP(LN(J11)*2.21405481999734)</f>
        <v>1.0448194573596</v>
      </c>
      <c r="O11" s="13" t="n">
        <f aca="false">LN(J11)*2.21405481999734</f>
        <v>0.0438441024137177</v>
      </c>
      <c r="P11" s="13" t="n">
        <f aca="false">((LN(L11)-LN(K11))/(2*1.959964))*2.21405481999734</f>
        <v>0.0166954108790365</v>
      </c>
      <c r="Q11" s="13" t="n">
        <f aca="false">IF(P11&gt;0,1/P11^2,0)</f>
        <v>3587.61455035774</v>
      </c>
      <c r="R11" s="14" t="n">
        <v>1</v>
      </c>
      <c r="S11" s="13" t="n">
        <f aca="false">IF(AND(R11=1,P11&gt;0),1/(P11^2+$Y$13),0)</f>
        <v>1344.35271450833</v>
      </c>
      <c r="T11" s="15" t="s">
        <v>101</v>
      </c>
    </row>
    <row r="12" customFormat="false" ht="15" hidden="false" customHeight="false" outlineLevel="0" collapsed="false">
      <c r="A12" s="10" t="s">
        <v>55</v>
      </c>
      <c r="B12" s="10" t="s">
        <v>102</v>
      </c>
      <c r="C12" s="10" t="n">
        <v>2021</v>
      </c>
      <c r="D12" s="10" t="s">
        <v>91</v>
      </c>
      <c r="E12" s="10" t="s">
        <v>83</v>
      </c>
      <c r="F12" s="10" t="s">
        <v>70</v>
      </c>
      <c r="G12" s="11" t="n">
        <v>1443318</v>
      </c>
      <c r="H12" s="10" t="s">
        <v>103</v>
      </c>
      <c r="I12" s="10" t="s">
        <v>104</v>
      </c>
      <c r="J12" s="12" t="n">
        <v>1.003</v>
      </c>
      <c r="K12" s="12" t="n">
        <v>1.001</v>
      </c>
      <c r="L12" s="12" t="n">
        <v>1.006</v>
      </c>
      <c r="M12" s="10" t="s">
        <v>95</v>
      </c>
      <c r="N12" s="13" t="n">
        <f aca="false">EXP(LN(J12)*5)</f>
        <v>1.01509027040524</v>
      </c>
      <c r="O12" s="13" t="n">
        <f aca="false">LN(J12)*5</f>
        <v>0.0149775448989919</v>
      </c>
      <c r="P12" s="13" t="n">
        <f aca="false">((LN(L12)-LN(K12))/(2*1.959964))*5</f>
        <v>0.00635543732495093</v>
      </c>
      <c r="Q12" s="13" t="n">
        <f aca="false">IF(P12&gt;0,1/P12^2,0)</f>
        <v>24757.6329295845</v>
      </c>
      <c r="R12" s="14" t="n">
        <v>0</v>
      </c>
      <c r="S12" s="13" t="n">
        <f aca="false">IF(AND(R12=1,P12&gt;0),1/(P12^2+$Y$13),0)</f>
        <v>0</v>
      </c>
      <c r="T12" s="15" t="s">
        <v>105</v>
      </c>
    </row>
    <row r="13" customFormat="false" ht="15" hidden="false" customHeight="false" outlineLevel="0" collapsed="false">
      <c r="A13" s="16"/>
      <c r="B13" s="16" t="s">
        <v>106</v>
      </c>
      <c r="C13" s="16"/>
      <c r="D13" s="16"/>
      <c r="E13" s="16"/>
      <c r="F13" s="16"/>
      <c r="G13" s="16"/>
      <c r="H13" s="16"/>
      <c r="I13" s="16"/>
      <c r="J13" s="17" t="n">
        <f aca="false">IF(U13&gt;0,EXP(AA13),"")</f>
        <v>1.06843871089854</v>
      </c>
      <c r="K13" s="17" t="n">
        <f aca="false">IF(U13&gt;0,EXP(AA13-1.959964*AB13),"")</f>
        <v>1.03771733374242</v>
      </c>
      <c r="L13" s="17" t="n">
        <f aca="false">IF(U13&gt;0,EXP(AA13+1.959964*AB13),"")</f>
        <v>1.10006958718673</v>
      </c>
      <c r="M13" s="16" t="s">
        <v>107</v>
      </c>
      <c r="N13" s="17" t="n">
        <f aca="false">IF(U13&gt;0,EXP(AA13),"")</f>
        <v>1.06843871089854</v>
      </c>
      <c r="O13" s="16"/>
      <c r="P13" s="16"/>
      <c r="Q13" s="16"/>
      <c r="R13" s="16"/>
      <c r="S13" s="16"/>
      <c r="T13" s="16"/>
      <c r="U13" s="16" t="n">
        <f aca="false">SUM($R$3:$R$12)</f>
        <v>5</v>
      </c>
      <c r="V13" s="16" t="n">
        <f aca="false">IF(U13&gt;0,SUMPRODUCT($R$3:$R$12,$Q$3:$Q$12,$O$3:$O$12)/SUMPRODUCT($R$3:$R$12,$Q$3:$Q$12),0)</f>
        <v>0.055338536987265</v>
      </c>
      <c r="W13" s="16" t="n">
        <f aca="false">IF(U13&gt;1,SUMPRODUCT($R$3:$R$12,$Q$3:$Q$12,($O$3:$O$12-V13)^2),0)</f>
        <v>7.55977455821934</v>
      </c>
      <c r="X13" s="16" t="n">
        <f aca="false">IF(U13&gt;1,SUMPRODUCT($R$3:$R$12,$Q$3:$Q$12)-SUMPRODUCT($R$3:$R$12,$Q$3:$Q$12,$Q$3:$Q$12)/SUMPRODUCT($R$3:$R$12,$Q$3:$Q$12),0)</f>
        <v>7653.52547569639</v>
      </c>
      <c r="Y13" s="16" t="n">
        <f aca="false">IF(X13&gt;0,MAX(0,(W13-(U13-1))/X13),0)</f>
        <v>0.000465115660687787</v>
      </c>
      <c r="Z13" s="18" t="n">
        <f aca="false">IF(AND(U13&gt;1,W13&gt;0),MAX(0,(W13-(U13-1))/W13),0)</f>
        <v>0.470883692470563</v>
      </c>
      <c r="AA13" s="16" t="n">
        <f aca="false">IF(SUM($S$3:$S$12)&gt;0,SUMPRODUCT($S$3:$S$12,$O$3:$O$12)/SUM($S$3:$S$12),0)</f>
        <v>0.0661984341867096</v>
      </c>
      <c r="AB13" s="16" t="n">
        <f aca="false">IF(SUM($S$3:$S$12)&gt;0,SQRT(1/SUM($S$3:$S$12)),0)</f>
        <v>0.0148854798841007</v>
      </c>
    </row>
    <row r="15" customFormat="false" ht="15" hidden="false" customHeight="false" outlineLevel="0" collapsed="false">
      <c r="A15" s="8" t="s">
        <v>108</v>
      </c>
      <c r="B15" s="9"/>
      <c r="C15" s="9"/>
      <c r="D15" s="9"/>
      <c r="E15" s="9"/>
      <c r="F15" s="9"/>
      <c r="G15" s="9"/>
      <c r="H15" s="9"/>
      <c r="I15" s="9"/>
      <c r="J15" s="9"/>
      <c r="K15" s="9"/>
      <c r="L15" s="9"/>
      <c r="M15" s="9"/>
      <c r="N15" s="9"/>
      <c r="O15" s="9"/>
      <c r="P15" s="9"/>
      <c r="Q15" s="9"/>
      <c r="R15" s="9"/>
      <c r="S15" s="9"/>
      <c r="T15" s="9"/>
    </row>
    <row r="16" customFormat="false" ht="15" hidden="false" customHeight="false" outlineLevel="0" collapsed="false">
      <c r="A16" s="10" t="s">
        <v>108</v>
      </c>
      <c r="B16" s="10" t="s">
        <v>56</v>
      </c>
      <c r="C16" s="10" t="n">
        <v>2026</v>
      </c>
      <c r="D16" s="10" t="s">
        <v>57</v>
      </c>
      <c r="E16" s="10" t="s">
        <v>58</v>
      </c>
      <c r="F16" s="10" t="s">
        <v>59</v>
      </c>
      <c r="G16" s="11" t="n">
        <v>113328</v>
      </c>
      <c r="H16" s="10" t="s">
        <v>60</v>
      </c>
      <c r="I16" s="10" t="s">
        <v>109</v>
      </c>
      <c r="J16" s="12" t="n">
        <v>1.4614</v>
      </c>
      <c r="K16" s="12" t="n">
        <v>1.0693</v>
      </c>
      <c r="L16" s="12" t="n">
        <v>1.8535</v>
      </c>
      <c r="M16" s="10" t="s">
        <v>62</v>
      </c>
      <c r="N16" s="13" t="n">
        <f aca="false">EXP(LN(J16)*1)</f>
        <v>1.4614</v>
      </c>
      <c r="O16" s="13" t="n">
        <f aca="false">LN(J16)*1</f>
        <v>0.37939488037498</v>
      </c>
      <c r="P16" s="13" t="n">
        <f aca="false">((LN(L16)-LN(K16))/(2*1.959964))*1</f>
        <v>0.140326943461251</v>
      </c>
      <c r="Q16" s="13" t="n">
        <f aca="false">IF(P16&gt;0,1/P16^2,0)</f>
        <v>50.7829433343725</v>
      </c>
      <c r="R16" s="14" t="n">
        <v>1</v>
      </c>
      <c r="S16" s="13" t="n">
        <f aca="false">IF(AND(R16=1,P16&gt;0),1/(P16^2+$Y$24),0)</f>
        <v>50.7829433343725</v>
      </c>
      <c r="T16" s="15" t="s">
        <v>110</v>
      </c>
    </row>
    <row r="17" customFormat="false" ht="15" hidden="false" customHeight="false" outlineLevel="0" collapsed="false">
      <c r="A17" s="10" t="s">
        <v>108</v>
      </c>
      <c r="B17" s="10" t="s">
        <v>56</v>
      </c>
      <c r="C17" s="10" t="n">
        <v>2026</v>
      </c>
      <c r="D17" s="10" t="s">
        <v>57</v>
      </c>
      <c r="E17" s="10" t="s">
        <v>58</v>
      </c>
      <c r="F17" s="10" t="s">
        <v>59</v>
      </c>
      <c r="G17" s="11" t="n">
        <v>113328</v>
      </c>
      <c r="H17" s="10" t="s">
        <v>64</v>
      </c>
      <c r="I17" s="10" t="s">
        <v>111</v>
      </c>
      <c r="J17" s="12" t="n">
        <v>1.1491</v>
      </c>
      <c r="K17" s="12" t="n">
        <v>0.8237</v>
      </c>
      <c r="L17" s="12" t="n">
        <v>1.4746</v>
      </c>
      <c r="M17" s="10" t="s">
        <v>66</v>
      </c>
      <c r="N17" s="14"/>
      <c r="O17" s="13"/>
      <c r="P17" s="13"/>
      <c r="Q17" s="13"/>
      <c r="R17" s="14" t="n">
        <v>0</v>
      </c>
      <c r="S17" s="13" t="n">
        <f aca="false">IF(AND(R17=1,P17&gt;0),1/(P17^2+$Y$24),0)</f>
        <v>0</v>
      </c>
      <c r="T17" s="15" t="s">
        <v>67</v>
      </c>
    </row>
    <row r="18" customFormat="false" ht="15" hidden="false" customHeight="false" outlineLevel="0" collapsed="false">
      <c r="A18" s="10" t="s">
        <v>108</v>
      </c>
      <c r="B18" s="10" t="s">
        <v>81</v>
      </c>
      <c r="C18" s="10" t="n">
        <v>2021</v>
      </c>
      <c r="D18" s="10" t="s">
        <v>82</v>
      </c>
      <c r="E18" s="10" t="s">
        <v>83</v>
      </c>
      <c r="F18" s="10" t="s">
        <v>70</v>
      </c>
      <c r="G18" s="11" t="n">
        <v>1443318</v>
      </c>
      <c r="H18" s="10" t="s">
        <v>112</v>
      </c>
      <c r="I18" s="10" t="s">
        <v>85</v>
      </c>
      <c r="J18" s="12" t="n">
        <v>1.47</v>
      </c>
      <c r="K18" s="12" t="n">
        <v>1.29</v>
      </c>
      <c r="L18" s="12" t="n">
        <v>1.67</v>
      </c>
      <c r="M18" s="10" t="s">
        <v>62</v>
      </c>
      <c r="N18" s="13" t="n">
        <f aca="false">EXP(LN(J18)*1)</f>
        <v>1.47</v>
      </c>
      <c r="O18" s="13" t="n">
        <f aca="false">LN(J18)*1</f>
        <v>0.385262400790645</v>
      </c>
      <c r="P18" s="13" t="n">
        <f aca="false">((LN(L18)-LN(K18))/(2*1.959964))*1</f>
        <v>0.0658638138392039</v>
      </c>
      <c r="Q18" s="13" t="n">
        <f aca="false">IF(P18&gt;0,1/P18^2,0)</f>
        <v>230.518746964956</v>
      </c>
      <c r="R18" s="14" t="n">
        <v>1</v>
      </c>
      <c r="S18" s="13" t="n">
        <f aca="false">IF(AND(R18=1,P18&gt;0),1/(P18^2+$Y$24),0)</f>
        <v>230.518746964956</v>
      </c>
      <c r="T18" s="15" t="s">
        <v>113</v>
      </c>
    </row>
    <row r="19" customFormat="false" ht="15" hidden="false" customHeight="false" outlineLevel="0" collapsed="false">
      <c r="A19" s="10" t="s">
        <v>108</v>
      </c>
      <c r="B19" s="10" t="s">
        <v>81</v>
      </c>
      <c r="C19" s="10" t="n">
        <v>2021</v>
      </c>
      <c r="D19" s="10" t="s">
        <v>82</v>
      </c>
      <c r="E19" s="10" t="s">
        <v>83</v>
      </c>
      <c r="F19" s="10" t="s">
        <v>70</v>
      </c>
      <c r="G19" s="11" t="n">
        <v>1443318</v>
      </c>
      <c r="H19" s="10" t="s">
        <v>114</v>
      </c>
      <c r="I19" s="10" t="s">
        <v>85</v>
      </c>
      <c r="J19" s="12" t="n">
        <v>2.52</v>
      </c>
      <c r="K19" s="12" t="n">
        <v>1.49</v>
      </c>
      <c r="L19" s="12" t="n">
        <v>4.26</v>
      </c>
      <c r="M19" s="10" t="s">
        <v>88</v>
      </c>
      <c r="N19" s="14"/>
      <c r="O19" s="13"/>
      <c r="P19" s="13"/>
      <c r="Q19" s="13"/>
      <c r="R19" s="14" t="n">
        <v>0</v>
      </c>
      <c r="S19" s="13" t="n">
        <f aca="false">IF(AND(R19=1,P19&gt;0),1/(P19^2+$Y$24),0)</f>
        <v>0</v>
      </c>
      <c r="T19" s="15" t="s">
        <v>89</v>
      </c>
    </row>
    <row r="20" customFormat="false" ht="15" hidden="false" customHeight="false" outlineLevel="0" collapsed="false">
      <c r="A20" s="10" t="s">
        <v>108</v>
      </c>
      <c r="B20" s="10" t="s">
        <v>81</v>
      </c>
      <c r="C20" s="10" t="n">
        <v>2021</v>
      </c>
      <c r="D20" s="10" t="s">
        <v>82</v>
      </c>
      <c r="E20" s="10" t="s">
        <v>115</v>
      </c>
      <c r="F20" s="10" t="s">
        <v>70</v>
      </c>
      <c r="G20" s="11" t="n">
        <v>1443318</v>
      </c>
      <c r="H20" s="10" t="s">
        <v>112</v>
      </c>
      <c r="I20" s="10" t="s">
        <v>85</v>
      </c>
      <c r="J20" s="12" t="n">
        <v>1.64</v>
      </c>
      <c r="K20" s="12" t="n">
        <v>1.37</v>
      </c>
      <c r="L20" s="12" t="n">
        <v>1.97</v>
      </c>
      <c r="M20" s="10" t="s">
        <v>76</v>
      </c>
      <c r="N20" s="14"/>
      <c r="O20" s="13"/>
      <c r="P20" s="13"/>
      <c r="Q20" s="13"/>
      <c r="R20" s="14" t="n">
        <v>0</v>
      </c>
      <c r="S20" s="13" t="n">
        <f aca="false">IF(AND(R20=1,P20&gt;0),1/(P20^2+$Y$24),0)</f>
        <v>0</v>
      </c>
      <c r="T20" s="15" t="s">
        <v>116</v>
      </c>
    </row>
    <row r="21" customFormat="false" ht="15" hidden="false" customHeight="false" outlineLevel="0" collapsed="false">
      <c r="A21" s="10" t="s">
        <v>108</v>
      </c>
      <c r="B21" s="10" t="s">
        <v>81</v>
      </c>
      <c r="C21" s="10" t="n">
        <v>2021</v>
      </c>
      <c r="D21" s="10" t="s">
        <v>82</v>
      </c>
      <c r="E21" s="10" t="s">
        <v>117</v>
      </c>
      <c r="F21" s="10" t="s">
        <v>70</v>
      </c>
      <c r="G21" s="11" t="n">
        <v>3832090</v>
      </c>
      <c r="H21" s="10" t="s">
        <v>112</v>
      </c>
      <c r="I21" s="10" t="s">
        <v>85</v>
      </c>
      <c r="J21" s="12" t="n">
        <v>1.49</v>
      </c>
      <c r="K21" s="12" t="n">
        <v>1.42</v>
      </c>
      <c r="L21" s="12" t="n">
        <v>1.56</v>
      </c>
      <c r="M21" s="10" t="s">
        <v>76</v>
      </c>
      <c r="N21" s="14"/>
      <c r="O21" s="13"/>
      <c r="P21" s="13"/>
      <c r="Q21" s="13"/>
      <c r="R21" s="14" t="n">
        <v>0</v>
      </c>
      <c r="S21" s="13" t="n">
        <f aca="false">IF(AND(R21=1,P21&gt;0),1/(P21^2+$Y$24),0)</f>
        <v>0</v>
      </c>
      <c r="T21" s="15" t="s">
        <v>118</v>
      </c>
    </row>
    <row r="22" customFormat="false" ht="15" hidden="false" customHeight="false" outlineLevel="0" collapsed="false">
      <c r="A22" s="10" t="s">
        <v>108</v>
      </c>
      <c r="B22" s="10" t="s">
        <v>119</v>
      </c>
      <c r="C22" s="10" t="n">
        <v>2017</v>
      </c>
      <c r="D22" s="10" t="s">
        <v>91</v>
      </c>
      <c r="E22" s="10" t="s">
        <v>120</v>
      </c>
      <c r="F22" s="10" t="s">
        <v>121</v>
      </c>
      <c r="G22" s="11" t="n">
        <v>134258</v>
      </c>
      <c r="H22" s="10" t="s">
        <v>122</v>
      </c>
      <c r="I22" s="10" t="s">
        <v>123</v>
      </c>
      <c r="J22" s="12" t="n">
        <v>1.08</v>
      </c>
      <c r="K22" s="12" t="n">
        <v>1.02</v>
      </c>
      <c r="L22" s="12" t="n">
        <v>1.15</v>
      </c>
      <c r="M22" s="10" t="s">
        <v>95</v>
      </c>
      <c r="N22" s="13" t="n">
        <f aca="false">EXP(LN(J22)*5)</f>
        <v>1.4693280768</v>
      </c>
      <c r="O22" s="13" t="n">
        <f aca="false">LN(J22)*5</f>
        <v>0.384805205680642</v>
      </c>
      <c r="P22" s="13" t="n">
        <f aca="false">((LN(L22)-LN(K22))/(2*1.959964))*5</f>
        <v>0.153012140884959</v>
      </c>
      <c r="Q22" s="13" t="n">
        <f aca="false">IF(P22&gt;0,1/P22^2,0)</f>
        <v>42.7118336754994</v>
      </c>
      <c r="R22" s="14" t="n">
        <v>1</v>
      </c>
      <c r="S22" s="13" t="n">
        <f aca="false">IF(AND(R22=1,P22&gt;0),1/(P22^2+$Y$24),0)</f>
        <v>42.7118336754994</v>
      </c>
      <c r="T22" s="15" t="s">
        <v>124</v>
      </c>
    </row>
    <row r="23" customFormat="false" ht="15" hidden="false" customHeight="false" outlineLevel="0" collapsed="false">
      <c r="A23" s="10" t="s">
        <v>108</v>
      </c>
      <c r="B23" s="10" t="s">
        <v>102</v>
      </c>
      <c r="C23" s="10" t="n">
        <v>2021</v>
      </c>
      <c r="D23" s="10" t="s">
        <v>91</v>
      </c>
      <c r="E23" s="10" t="s">
        <v>83</v>
      </c>
      <c r="F23" s="10" t="s">
        <v>70</v>
      </c>
      <c r="G23" s="11" t="n">
        <v>1443318</v>
      </c>
      <c r="H23" s="10" t="s">
        <v>125</v>
      </c>
      <c r="I23" s="10" t="s">
        <v>104</v>
      </c>
      <c r="J23" s="12" t="n">
        <v>1.015</v>
      </c>
      <c r="K23" s="12" t="n">
        <v>1.008</v>
      </c>
      <c r="L23" s="12" t="n">
        <v>1.021</v>
      </c>
      <c r="M23" s="10" t="s">
        <v>95</v>
      </c>
      <c r="N23" s="13" t="n">
        <f aca="false">EXP(LN(J23)*5)</f>
        <v>1.07728400388437</v>
      </c>
      <c r="O23" s="13" t="n">
        <f aca="false">LN(J23)*5</f>
        <v>0.0744430624687528</v>
      </c>
      <c r="P23" s="13" t="n">
        <f aca="false">((LN(L23)-LN(K23))/(2*1.959964))*5</f>
        <v>0.0163451593158746</v>
      </c>
      <c r="Q23" s="13" t="n">
        <f aca="false">IF(P23&gt;0,1/P23^2,0)</f>
        <v>3743.01600383189</v>
      </c>
      <c r="R23" s="14" t="n">
        <v>0</v>
      </c>
      <c r="S23" s="13" t="n">
        <f aca="false">IF(AND(R23=1,P23&gt;0),1/(P23^2+$Y$24),0)</f>
        <v>0</v>
      </c>
      <c r="T23" s="15" t="s">
        <v>126</v>
      </c>
    </row>
    <row r="24" customFormat="false" ht="15" hidden="false" customHeight="false" outlineLevel="0" collapsed="false">
      <c r="A24" s="16"/>
      <c r="B24" s="16" t="s">
        <v>106</v>
      </c>
      <c r="C24" s="16"/>
      <c r="D24" s="16"/>
      <c r="E24" s="16"/>
      <c r="F24" s="16"/>
      <c r="G24" s="16"/>
      <c r="H24" s="16"/>
      <c r="I24" s="16"/>
      <c r="J24" s="17" t="n">
        <f aca="false">IF(U24&gt;0,EXP(AA24),"")</f>
        <v>1.46856026726732</v>
      </c>
      <c r="K24" s="17" t="n">
        <f aca="false">IF(U24&gt;0,EXP(AA24-1.959964*AB24),"")</f>
        <v>1.31705461925257</v>
      </c>
      <c r="L24" s="17" t="n">
        <f aca="false">IF(U24&gt;0,EXP(AA24+1.959964*AB24),"")</f>
        <v>1.63749416848039</v>
      </c>
      <c r="M24" s="16" t="s">
        <v>107</v>
      </c>
      <c r="N24" s="17" t="n">
        <f aca="false">IF(U24&gt;0,EXP(AA24),"")</f>
        <v>1.46856026726732</v>
      </c>
      <c r="O24" s="16"/>
      <c r="P24" s="16"/>
      <c r="Q24" s="16"/>
      <c r="R24" s="16"/>
      <c r="S24" s="16"/>
      <c r="T24" s="16"/>
      <c r="U24" s="16" t="n">
        <f aca="false">SUM($R$16:$R$23)</f>
        <v>3</v>
      </c>
      <c r="V24" s="16" t="n">
        <f aca="false">IF(U24&gt;0,SUMPRODUCT($R$16:$R$23,$Q$16:$Q$23,$O$16:$O$23)/SUMPRODUCT($R$16:$R$23,$Q$16:$Q$23),0)</f>
        <v>0.38428251083302</v>
      </c>
      <c r="W24" s="16" t="n">
        <f aca="false">IF(U24&gt;1,SUMPRODUCT($R$16:$R$23,$Q$16:$Q$23,($O$16:$O$23-V24)^2),0)</f>
        <v>0.00144616003875217</v>
      </c>
      <c r="X24" s="16" t="n">
        <f aca="false">IF(U24&gt;1,SUMPRODUCT($R$16:$R$23,$Q$16:$Q$23)-SUMPRODUCT($R$16:$R$23,$Q$16:$Q$23,$Q$16:$Q$23)/SUMPRODUCT($R$16:$R$23,$Q$16:$Q$23),0)</f>
        <v>146.421860312081</v>
      </c>
      <c r="Y24" s="16" t="n">
        <f aca="false">IF(X24&gt;0,MAX(0,(W24-(U24-1))/X24),0)</f>
        <v>0</v>
      </c>
      <c r="Z24" s="18" t="n">
        <f aca="false">IF(AND(U24&gt;1,W24&gt;0),MAX(0,(W24-(U24-1))/W24),0)</f>
        <v>0</v>
      </c>
      <c r="AA24" s="16" t="n">
        <f aca="false">IF(SUM($S$16:$S$23)&gt;0,SUMPRODUCT($S$16:$S$23,$O$16:$O$23)/SUM($S$16:$S$23),0)</f>
        <v>0.38428251083302</v>
      </c>
      <c r="AB24" s="16" t="n">
        <f aca="false">IF(SUM($S$16:$S$23)&gt;0,SQRT(1/SUM($S$16:$S$23)),0)</f>
        <v>0.0555543961289893</v>
      </c>
    </row>
    <row r="26" customFormat="false" ht="15" hidden="false" customHeight="false" outlineLevel="0" collapsed="false">
      <c r="A26" s="8" t="s">
        <v>127</v>
      </c>
      <c r="B26" s="9"/>
      <c r="C26" s="9"/>
      <c r="D26" s="9"/>
      <c r="E26" s="9"/>
      <c r="F26" s="9"/>
      <c r="G26" s="9"/>
      <c r="H26" s="9"/>
      <c r="I26" s="9"/>
      <c r="J26" s="9"/>
      <c r="K26" s="9"/>
      <c r="L26" s="9"/>
      <c r="M26" s="9"/>
      <c r="N26" s="9"/>
      <c r="O26" s="9"/>
      <c r="P26" s="9"/>
      <c r="Q26" s="9"/>
      <c r="R26" s="9"/>
      <c r="S26" s="9"/>
      <c r="T26" s="9"/>
    </row>
    <row r="27" customFormat="false" ht="15" hidden="false" customHeight="false" outlineLevel="0" collapsed="false">
      <c r="A27" s="10" t="s">
        <v>127</v>
      </c>
      <c r="B27" s="10" t="s">
        <v>56</v>
      </c>
      <c r="C27" s="10" t="n">
        <v>2026</v>
      </c>
      <c r="D27" s="10" t="s">
        <v>57</v>
      </c>
      <c r="E27" s="10" t="s">
        <v>58</v>
      </c>
      <c r="F27" s="10" t="s">
        <v>59</v>
      </c>
      <c r="G27" s="11" t="n">
        <v>113328</v>
      </c>
      <c r="H27" s="10" t="s">
        <v>60</v>
      </c>
      <c r="I27" s="10" t="s">
        <v>128</v>
      </c>
      <c r="J27" s="12" t="n">
        <v>0.9409</v>
      </c>
      <c r="K27" s="12" t="n">
        <v>0.8193</v>
      </c>
      <c r="L27" s="12" t="n">
        <v>1.0623</v>
      </c>
      <c r="M27" s="10" t="s">
        <v>62</v>
      </c>
      <c r="N27" s="13" t="n">
        <f aca="false">EXP(LN(J27)*1)</f>
        <v>0.9409</v>
      </c>
      <c r="O27" s="13" t="n">
        <f aca="false">LN(J27)*1</f>
        <v>-0.0609184149694171</v>
      </c>
      <c r="P27" s="13" t="n">
        <f aca="false">((LN(L27)-LN(K27))/(2*1.959964))*1</f>
        <v>0.0662617605828981</v>
      </c>
      <c r="Q27" s="13" t="n">
        <f aca="false">IF(P27&gt;0,1/P27^2,0)</f>
        <v>227.758218993452</v>
      </c>
      <c r="R27" s="14" t="n">
        <v>1</v>
      </c>
      <c r="S27" s="13" t="n">
        <f aca="false">IF(AND(R27=1,P27&gt;0),1/(P27^2+$Y$30),0)</f>
        <v>40.9733269467101</v>
      </c>
      <c r="T27" s="15" t="s">
        <v>129</v>
      </c>
    </row>
    <row r="28" customFormat="false" ht="15" hidden="false" customHeight="false" outlineLevel="0" collapsed="false">
      <c r="A28" s="10" t="s">
        <v>127</v>
      </c>
      <c r="B28" s="10" t="s">
        <v>68</v>
      </c>
      <c r="C28" s="10" t="n">
        <v>2025</v>
      </c>
      <c r="D28" s="10" t="s">
        <v>57</v>
      </c>
      <c r="E28" s="10" t="s">
        <v>69</v>
      </c>
      <c r="F28" s="10" t="s">
        <v>70</v>
      </c>
      <c r="G28" s="11" t="n">
        <v>338962</v>
      </c>
      <c r="H28" s="10" t="s">
        <v>71</v>
      </c>
      <c r="I28" s="10" t="s">
        <v>130</v>
      </c>
      <c r="J28" s="12" t="n">
        <v>1.1667</v>
      </c>
      <c r="K28" s="12" t="n">
        <v>1.0687</v>
      </c>
      <c r="L28" s="12" t="n">
        <v>1.2647</v>
      </c>
      <c r="M28" s="10" t="s">
        <v>62</v>
      </c>
      <c r="N28" s="13" t="n">
        <f aca="false">EXP(LN(J28)*1)</f>
        <v>1.1667</v>
      </c>
      <c r="O28" s="13" t="n">
        <f aca="false">LN(J28)*1</f>
        <v>0.154179250847674</v>
      </c>
      <c r="P28" s="13" t="n">
        <f aca="false">((LN(L28)-LN(K28))/(2*1.959964))*1</f>
        <v>0.0429579276341503</v>
      </c>
      <c r="Q28" s="13" t="n">
        <f aca="false">IF(P28&gt;0,1/P28^2,0)</f>
        <v>541.892769029567</v>
      </c>
      <c r="R28" s="14" t="n">
        <v>1</v>
      </c>
      <c r="S28" s="13" t="n">
        <f aca="false">IF(AND(R28=1,P28&gt;0),1/(P28^2+$Y$30),0)</f>
        <v>45.7438038290901</v>
      </c>
      <c r="T28" s="15" t="s">
        <v>73</v>
      </c>
    </row>
    <row r="29" customFormat="false" ht="15" hidden="false" customHeight="false" outlineLevel="0" collapsed="false">
      <c r="A29" s="10" t="s">
        <v>127</v>
      </c>
      <c r="B29" s="10" t="s">
        <v>68</v>
      </c>
      <c r="C29" s="10" t="n">
        <v>2025</v>
      </c>
      <c r="D29" s="10" t="s">
        <v>57</v>
      </c>
      <c r="E29" s="10" t="s">
        <v>74</v>
      </c>
      <c r="F29" s="10" t="s">
        <v>70</v>
      </c>
      <c r="G29" s="11" t="n">
        <v>338962</v>
      </c>
      <c r="H29" s="10" t="s">
        <v>71</v>
      </c>
      <c r="I29" s="10" t="s">
        <v>131</v>
      </c>
      <c r="J29" s="12" t="n">
        <v>1.2833</v>
      </c>
      <c r="K29" s="12" t="n">
        <v>1.1853</v>
      </c>
      <c r="L29" s="12" t="n">
        <v>1.3813</v>
      </c>
      <c r="M29" s="10" t="s">
        <v>76</v>
      </c>
      <c r="N29" s="14"/>
      <c r="O29" s="13"/>
      <c r="P29" s="13"/>
      <c r="Q29" s="13"/>
      <c r="R29" s="14" t="n">
        <v>0</v>
      </c>
      <c r="S29" s="13" t="n">
        <f aca="false">IF(AND(R29=1,P29&gt;0),1/(P29^2+$Y$30),0)</f>
        <v>0</v>
      </c>
      <c r="T29" s="15" t="s">
        <v>77</v>
      </c>
    </row>
    <row r="30" customFormat="false" ht="15" hidden="false" customHeight="false" outlineLevel="0" collapsed="false">
      <c r="A30" s="16"/>
      <c r="B30" s="16" t="s">
        <v>106</v>
      </c>
      <c r="C30" s="16"/>
      <c r="D30" s="16"/>
      <c r="E30" s="16"/>
      <c r="F30" s="16"/>
      <c r="G30" s="16"/>
      <c r="H30" s="16"/>
      <c r="I30" s="16"/>
      <c r="J30" s="17" t="n">
        <f aca="false">IF(U30&gt;0,EXP(AA30),"")</f>
        <v>1.05395197756442</v>
      </c>
      <c r="K30" s="17" t="n">
        <f aca="false">IF(U30&gt;0,EXP(AA30-1.959964*AB30),"")</f>
        <v>0.853913181768433</v>
      </c>
      <c r="L30" s="17" t="n">
        <f aca="false">IF(U30&gt;0,EXP(AA30+1.959964*AB30),"")</f>
        <v>1.30085211790674</v>
      </c>
      <c r="M30" s="16" t="s">
        <v>107</v>
      </c>
      <c r="N30" s="17" t="n">
        <f aca="false">IF(U30&gt;0,EXP(AA30),"")</f>
        <v>1.05395197756442</v>
      </c>
      <c r="O30" s="16"/>
      <c r="P30" s="16"/>
      <c r="Q30" s="16"/>
      <c r="R30" s="16"/>
      <c r="S30" s="16"/>
      <c r="T30" s="16"/>
      <c r="U30" s="16" t="n">
        <f aca="false">SUM($R$27:$R$29)</f>
        <v>2</v>
      </c>
      <c r="V30" s="16" t="n">
        <f aca="false">IF(U30&gt;0,SUMPRODUCT($R$27:$R$29,$Q$27:$Q$29,$O$27:$O$29)/SUMPRODUCT($R$27:$R$29,$Q$27:$Q$29),0)</f>
        <v>0.0905266835950948</v>
      </c>
      <c r="W30" s="16" t="n">
        <f aca="false">IF(U30&gt;1,SUMPRODUCT($R$27:$R$29,$Q$27:$Q$29,($O$27:$O$29-V30)^2),0)</f>
        <v>7.41933494766765</v>
      </c>
      <c r="X30" s="16" t="n">
        <f aca="false">IF(U30&gt;1,SUMPRODUCT($R$27:$R$29,$Q$27:$Q$29)-SUMPRODUCT($R$27:$R$29,$Q$27:$Q$29,$Q$27:$Q$29)/SUMPRODUCT($R$27:$R$29,$Q$27:$Q$29),0)</f>
        <v>320.718179746981</v>
      </c>
      <c r="Y30" s="16" t="n">
        <f aca="false">IF(X30&gt;0,MAX(0,(W30-(U30-1))/X30),0)</f>
        <v>0.0200155006888975</v>
      </c>
      <c r="Z30" s="18" t="n">
        <f aca="false">IF(AND(U30&gt;1,W30&gt;0),MAX(0,(W30-(U30-1))/W30),0)</f>
        <v>0.865217029955716</v>
      </c>
      <c r="AA30" s="16" t="n">
        <f aca="false">IF(SUM($S$27:$S$29)&gt;0,SUMPRODUCT($S$27:$S$29,$O$27:$O$29)/SUM($S$27:$S$29),0)</f>
        <v>0.0525468869980926</v>
      </c>
      <c r="AB30" s="16" t="n">
        <f aca="false">IF(SUM($S$27:$S$29)&gt;0,SQRT(1/SUM($S$27:$S$29)),0)</f>
        <v>0.107385971401597</v>
      </c>
    </row>
    <row r="32" customFormat="false" ht="15" hidden="false" customHeight="false" outlineLevel="0" collapsed="false">
      <c r="A32" s="8" t="s">
        <v>132</v>
      </c>
      <c r="B32" s="9"/>
      <c r="C32" s="9"/>
      <c r="D32" s="9"/>
      <c r="E32" s="9"/>
      <c r="F32" s="9"/>
      <c r="G32" s="9"/>
      <c r="H32" s="9"/>
      <c r="I32" s="9"/>
      <c r="J32" s="9"/>
      <c r="K32" s="9"/>
      <c r="L32" s="9"/>
      <c r="M32" s="9"/>
      <c r="N32" s="9"/>
      <c r="O32" s="9"/>
      <c r="P32" s="9"/>
      <c r="Q32" s="9"/>
      <c r="R32" s="9"/>
      <c r="S32" s="9"/>
      <c r="T32" s="9"/>
    </row>
    <row r="33" customFormat="false" ht="15" hidden="false" customHeight="false" outlineLevel="0" collapsed="false">
      <c r="A33" s="10" t="s">
        <v>132</v>
      </c>
      <c r="B33" s="10" t="s">
        <v>56</v>
      </c>
      <c r="C33" s="10" t="n">
        <v>2026</v>
      </c>
      <c r="D33" s="10" t="s">
        <v>57</v>
      </c>
      <c r="E33" s="10" t="s">
        <v>58</v>
      </c>
      <c r="F33" s="10" t="s">
        <v>59</v>
      </c>
      <c r="G33" s="11" t="n">
        <v>113328</v>
      </c>
      <c r="H33" s="10" t="s">
        <v>60</v>
      </c>
      <c r="I33" s="10" t="s">
        <v>133</v>
      </c>
      <c r="J33" s="12" t="n">
        <v>1.3828</v>
      </c>
      <c r="K33" s="12" t="n">
        <v>0.9969</v>
      </c>
      <c r="L33" s="12" t="n">
        <v>1.7688</v>
      </c>
      <c r="M33" s="10" t="s">
        <v>62</v>
      </c>
      <c r="N33" s="13" t="n">
        <f aca="false">EXP(LN(J33)*1)</f>
        <v>1.3828</v>
      </c>
      <c r="O33" s="13" t="n">
        <f aca="false">LN(J33)*1</f>
        <v>0.324110429065332</v>
      </c>
      <c r="P33" s="13" t="n">
        <f aca="false">((LN(L33)-LN(K33))/(2*1.959964))*1</f>
        <v>0.146279769810715</v>
      </c>
      <c r="Q33" s="13" t="n">
        <f aca="false">IF(P33&gt;0,1/P33^2,0)</f>
        <v>46.7338395849131</v>
      </c>
      <c r="R33" s="14" t="n">
        <v>1</v>
      </c>
      <c r="S33" s="13" t="n">
        <f aca="false">IF(AND(R33=1,P33&gt;0),1/(P33^2+$Y$35),0)</f>
        <v>10.0468862974988</v>
      </c>
      <c r="T33" s="15" t="s">
        <v>134</v>
      </c>
    </row>
    <row r="34" customFormat="false" ht="15" hidden="false" customHeight="false" outlineLevel="0" collapsed="false">
      <c r="A34" s="10" t="s">
        <v>132</v>
      </c>
      <c r="B34" s="10" t="s">
        <v>119</v>
      </c>
      <c r="C34" s="10" t="n">
        <v>2017</v>
      </c>
      <c r="D34" s="10" t="s">
        <v>91</v>
      </c>
      <c r="E34" s="10" t="s">
        <v>120</v>
      </c>
      <c r="F34" s="10" t="s">
        <v>121</v>
      </c>
      <c r="G34" s="11" t="n">
        <v>134258</v>
      </c>
      <c r="H34" s="10" t="s">
        <v>122</v>
      </c>
      <c r="I34" s="10" t="s">
        <v>123</v>
      </c>
      <c r="J34" s="12" t="n">
        <v>1.17</v>
      </c>
      <c r="K34" s="12" t="n">
        <v>1.08</v>
      </c>
      <c r="L34" s="12" t="n">
        <v>1.25</v>
      </c>
      <c r="M34" s="10" t="s">
        <v>95</v>
      </c>
      <c r="N34" s="13" t="n">
        <f aca="false">EXP(LN(J34)*5)</f>
        <v>2.1924480357</v>
      </c>
      <c r="O34" s="13" t="n">
        <f aca="false">LN(J34)*5</f>
        <v>0.785018744048324</v>
      </c>
      <c r="P34" s="13" t="n">
        <f aca="false">((LN(L34)-LN(K34))/(2*1.959964))*5</f>
        <v>0.186460708178927</v>
      </c>
      <c r="Q34" s="13" t="n">
        <f aca="false">IF(P34&gt;0,1/P34^2,0)</f>
        <v>28.7624145421044</v>
      </c>
      <c r="R34" s="14" t="n">
        <v>1</v>
      </c>
      <c r="S34" s="13" t="n">
        <f aca="false">IF(AND(R34=1,P34&gt;0),1/(P34^2+$Y$35),0)</f>
        <v>8.85714882529938</v>
      </c>
      <c r="T34" s="15" t="s">
        <v>135</v>
      </c>
    </row>
    <row r="35" customFormat="false" ht="15" hidden="false" customHeight="false" outlineLevel="0" collapsed="false">
      <c r="A35" s="16"/>
      <c r="B35" s="16" t="s">
        <v>106</v>
      </c>
      <c r="C35" s="16"/>
      <c r="D35" s="16"/>
      <c r="E35" s="16"/>
      <c r="F35" s="16"/>
      <c r="G35" s="16"/>
      <c r="H35" s="16"/>
      <c r="I35" s="16"/>
      <c r="J35" s="17" t="n">
        <f aca="false">IF(U35&gt;0,EXP(AA35),"")</f>
        <v>1.71611121161826</v>
      </c>
      <c r="K35" s="17" t="n">
        <f aca="false">IF(U35&gt;0,EXP(AA35-1.959964*AB35),"")</f>
        <v>1.09338061130829</v>
      </c>
      <c r="L35" s="17" t="n">
        <f aca="false">IF(U35&gt;0,EXP(AA35+1.959964*AB35),"")</f>
        <v>2.6935155609884</v>
      </c>
      <c r="M35" s="16" t="s">
        <v>107</v>
      </c>
      <c r="N35" s="17" t="n">
        <f aca="false">IF(U35&gt;0,EXP(AA35),"")</f>
        <v>1.71611121161826</v>
      </c>
      <c r="O35" s="16"/>
      <c r="P35" s="16"/>
      <c r="Q35" s="16"/>
      <c r="R35" s="16"/>
      <c r="S35" s="16"/>
      <c r="T35" s="16"/>
      <c r="U35" s="16" t="n">
        <f aca="false">SUM($R$33:$R$34)</f>
        <v>2</v>
      </c>
      <c r="V35" s="16" t="n">
        <f aca="false">IF(U35&gt;0,SUMPRODUCT($R$33:$R$34,$Q$33:$Q$34,$O$33:$O$34)/SUMPRODUCT($R$33:$R$34,$Q$33:$Q$34),0)</f>
        <v>0.499706373191777</v>
      </c>
      <c r="W35" s="16" t="n">
        <f aca="false">IF(U35&gt;1,SUMPRODUCT($R$33:$R$34,$Q$33:$Q$34,($O$33:$O$34-V35)^2),0)</f>
        <v>3.78233931533455</v>
      </c>
      <c r="X35" s="16" t="n">
        <f aca="false">IF(U35&gt;1,SUMPRODUCT($R$33:$R$34,$Q$33:$Q$34)-SUMPRODUCT($R$33:$R$34,$Q$33:$Q$34,$Q$33:$Q$34)/SUMPRODUCT($R$33:$R$34,$Q$33:$Q$34),0)</f>
        <v>35.6091327398572</v>
      </c>
      <c r="Y35" s="16" t="n">
        <f aca="false">IF(X35&gt;0,MAX(0,(W35-(U35-1))/X35),0)</f>
        <v>0.0781355540349985</v>
      </c>
      <c r="Z35" s="18" t="n">
        <f aca="false">IF(AND(U35&gt;1,W35&gt;0),MAX(0,(W35-(U35-1))/W35),0)</f>
        <v>0.735613355484594</v>
      </c>
      <c r="AA35" s="16" t="n">
        <f aca="false">IF(SUM($S$33:$S$34)&gt;0,SUMPRODUCT($S$33:$S$34,$O$33:$O$34)/SUM($S$33:$S$34),0)</f>
        <v>0.540060807601132</v>
      </c>
      <c r="AB35" s="16" t="n">
        <f aca="false">IF(SUM($S$33:$S$34)&gt;0,SQRT(1/SUM($S$33:$S$34)),0)</f>
        <v>0.229997302377918</v>
      </c>
    </row>
    <row r="37" customFormat="false" ht="15" hidden="false" customHeight="false" outlineLevel="0" collapsed="false">
      <c r="A37" s="8" t="s">
        <v>136</v>
      </c>
      <c r="B37" s="9"/>
      <c r="C37" s="9"/>
      <c r="D37" s="9"/>
      <c r="E37" s="9"/>
      <c r="F37" s="9"/>
      <c r="G37" s="9"/>
      <c r="H37" s="9"/>
      <c r="I37" s="9"/>
      <c r="J37" s="9"/>
      <c r="K37" s="9"/>
      <c r="L37" s="9"/>
      <c r="M37" s="9"/>
      <c r="N37" s="9"/>
      <c r="O37" s="9"/>
      <c r="P37" s="9"/>
      <c r="Q37" s="9"/>
      <c r="R37" s="9"/>
      <c r="S37" s="9"/>
      <c r="T37" s="9"/>
    </row>
    <row r="38" customFormat="false" ht="15" hidden="false" customHeight="false" outlineLevel="0" collapsed="false">
      <c r="A38" s="10" t="s">
        <v>136</v>
      </c>
      <c r="B38" s="10" t="s">
        <v>137</v>
      </c>
      <c r="C38" s="10" t="n">
        <v>2021</v>
      </c>
      <c r="D38" s="10" t="s">
        <v>91</v>
      </c>
      <c r="E38" s="10" t="s">
        <v>92</v>
      </c>
      <c r="F38" s="10" t="s">
        <v>98</v>
      </c>
      <c r="G38" s="11" t="n">
        <v>652810</v>
      </c>
      <c r="H38" s="10" t="s">
        <v>138</v>
      </c>
      <c r="I38" s="10" t="s">
        <v>139</v>
      </c>
      <c r="J38" s="12" t="n">
        <v>3.11</v>
      </c>
      <c r="K38" s="12" t="n">
        <v>1.08</v>
      </c>
      <c r="L38" s="12" t="n">
        <v>8.94</v>
      </c>
      <c r="M38" s="10" t="s">
        <v>140</v>
      </c>
      <c r="N38" s="14"/>
      <c r="O38" s="13"/>
      <c r="P38" s="13"/>
      <c r="Q38" s="13"/>
      <c r="R38" s="14" t="n">
        <v>0</v>
      </c>
      <c r="S38" s="13" t="n">
        <f aca="false">IF(AND(R38=1,P38&gt;0),1/(P38^2+$Y$39),0)</f>
        <v>0</v>
      </c>
      <c r="T38" s="15" t="s">
        <v>141</v>
      </c>
    </row>
    <row r="39" customFormat="false" ht="15" hidden="false" customHeight="false" outlineLevel="0" collapsed="false">
      <c r="A39" s="16"/>
      <c r="B39" s="16" t="s">
        <v>106</v>
      </c>
      <c r="C39" s="16"/>
      <c r="D39" s="16"/>
      <c r="E39" s="16"/>
      <c r="F39" s="16"/>
      <c r="G39" s="16"/>
      <c r="H39" s="16"/>
      <c r="I39" s="16"/>
      <c r="J39" s="17" t="str">
        <f aca="false">IF(U39&gt;0,EXP(AA39),"")</f>
        <v/>
      </c>
      <c r="K39" s="17" t="str">
        <f aca="false">IF(U39&gt;0,EXP(AA39-1.959964*AB39),"")</f>
        <v/>
      </c>
      <c r="L39" s="17" t="str">
        <f aca="false">IF(U39&gt;0,EXP(AA39+1.959964*AB39),"")</f>
        <v/>
      </c>
      <c r="M39" s="16" t="s">
        <v>107</v>
      </c>
      <c r="N39" s="17" t="str">
        <f aca="false">IF(U39&gt;0,EXP(AA39),"")</f>
        <v/>
      </c>
      <c r="O39" s="16"/>
      <c r="P39" s="16"/>
      <c r="Q39" s="16"/>
      <c r="R39" s="16"/>
      <c r="S39" s="16"/>
      <c r="T39" s="16"/>
      <c r="U39" s="16" t="n">
        <f aca="false">SUM($R$38:$R$38)</f>
        <v>0</v>
      </c>
      <c r="V39" s="16" t="n">
        <f aca="false">IF(U39&gt;0,SUMPRODUCT($R$38:$R$38,$Q$38:$Q$38,$O$38:$O$38)/SUMPRODUCT($R$38:$R$38,$Q$38:$Q$38),0)</f>
        <v>0</v>
      </c>
      <c r="W39" s="16" t="n">
        <f aca="false">IF(U39&gt;1,SUMPRODUCT($R$38:$R$38,$Q$38:$Q$38,($O$38:$O$38-V39)^2),0)</f>
        <v>0</v>
      </c>
      <c r="X39" s="16" t="n">
        <f aca="false">IF(U39&gt;1,SUMPRODUCT($R$38:$R$38,$Q$38:$Q$38)-SUMPRODUCT($R$38:$R$38,$Q$38:$Q$38,$Q$38:$Q$38)/SUMPRODUCT($R$38:$R$38,$Q$38:$Q$38),0)</f>
        <v>0</v>
      </c>
      <c r="Y39" s="16" t="n">
        <f aca="false">IF(X39&gt;0,MAX(0,(W39-(U39-1))/X39),0)</f>
        <v>0</v>
      </c>
      <c r="Z39" s="18" t="n">
        <f aca="false">IF(AND(U39&gt;1,W39&gt;0),MAX(0,(W39-(U39-1))/W39),0)</f>
        <v>0</v>
      </c>
      <c r="AA39" s="16" t="n">
        <f aca="false">IF(SUM($S$38:$S$38)&gt;0,SUMPRODUCT($S$38:$S$38,$O$38:$O$38)/SUM($S$38:$S$38),0)</f>
        <v>0</v>
      </c>
      <c r="AB39" s="16" t="n">
        <f aca="false">IF(SUM($S$38:$S$38)&gt;0,SQRT(1/SUM($S$38:$S$38)),0)</f>
        <v>0</v>
      </c>
    </row>
    <row r="41" customFormat="false" ht="15" hidden="false" customHeight="false" outlineLevel="0" collapsed="false">
      <c r="A41" s="8" t="s">
        <v>142</v>
      </c>
      <c r="B41" s="9"/>
      <c r="C41" s="9"/>
      <c r="D41" s="9"/>
      <c r="E41" s="9"/>
      <c r="F41" s="9"/>
      <c r="G41" s="9"/>
      <c r="H41" s="9"/>
      <c r="I41" s="9"/>
      <c r="J41" s="9"/>
      <c r="K41" s="9"/>
      <c r="L41" s="9"/>
      <c r="M41" s="9"/>
      <c r="N41" s="9"/>
      <c r="O41" s="9"/>
      <c r="P41" s="9"/>
      <c r="Q41" s="9"/>
      <c r="R41" s="9"/>
      <c r="S41" s="9"/>
      <c r="T41" s="9"/>
    </row>
    <row r="42" customFormat="false" ht="15" hidden="false" customHeight="false" outlineLevel="0" collapsed="false">
      <c r="A42" s="10" t="s">
        <v>142</v>
      </c>
      <c r="B42" s="10" t="s">
        <v>119</v>
      </c>
      <c r="C42" s="10" t="n">
        <v>2022</v>
      </c>
      <c r="D42" s="10" t="s">
        <v>91</v>
      </c>
      <c r="E42" s="10" t="s">
        <v>92</v>
      </c>
      <c r="F42" s="10" t="s">
        <v>98</v>
      </c>
      <c r="G42" s="11" t="n">
        <v>1018914</v>
      </c>
      <c r="H42" s="10" t="s">
        <v>143</v>
      </c>
      <c r="I42" s="10" t="s">
        <v>85</v>
      </c>
      <c r="J42" s="12" t="n">
        <v>1.29</v>
      </c>
      <c r="K42" s="12" t="n">
        <v>1</v>
      </c>
      <c r="L42" s="12" t="n">
        <v>1.66</v>
      </c>
      <c r="M42" s="10" t="s">
        <v>140</v>
      </c>
      <c r="N42" s="14"/>
      <c r="O42" s="13"/>
      <c r="P42" s="13"/>
      <c r="Q42" s="13"/>
      <c r="R42" s="14" t="n">
        <v>0</v>
      </c>
      <c r="S42" s="13" t="n">
        <f aca="false">IF(AND(R42=1,P42&gt;0),1/(P42^2+$Y$43),0)</f>
        <v>0</v>
      </c>
      <c r="T42" s="15" t="s">
        <v>144</v>
      </c>
    </row>
    <row r="43" customFormat="false" ht="15" hidden="false" customHeight="false" outlineLevel="0" collapsed="false">
      <c r="A43" s="16"/>
      <c r="B43" s="16" t="s">
        <v>106</v>
      </c>
      <c r="C43" s="16"/>
      <c r="D43" s="16"/>
      <c r="E43" s="16"/>
      <c r="F43" s="16"/>
      <c r="G43" s="16"/>
      <c r="H43" s="16"/>
      <c r="I43" s="16"/>
      <c r="J43" s="17" t="str">
        <f aca="false">IF(U43&gt;0,EXP(AA43),"")</f>
        <v/>
      </c>
      <c r="K43" s="17" t="str">
        <f aca="false">IF(U43&gt;0,EXP(AA43-1.959964*AB43),"")</f>
        <v/>
      </c>
      <c r="L43" s="17" t="str">
        <f aca="false">IF(U43&gt;0,EXP(AA43+1.959964*AB43),"")</f>
        <v/>
      </c>
      <c r="M43" s="16" t="s">
        <v>107</v>
      </c>
      <c r="N43" s="17" t="str">
        <f aca="false">IF(U43&gt;0,EXP(AA43),"")</f>
        <v/>
      </c>
      <c r="O43" s="16"/>
      <c r="P43" s="16"/>
      <c r="Q43" s="16"/>
      <c r="R43" s="16"/>
      <c r="S43" s="16"/>
      <c r="T43" s="16"/>
      <c r="U43" s="16" t="n">
        <f aca="false">SUM($R$42:$R$42)</f>
        <v>0</v>
      </c>
      <c r="V43" s="16" t="n">
        <f aca="false">IF(U43&gt;0,SUMPRODUCT($R$42:$R$42,$Q$42:$Q$42,$O$42:$O$42)/SUMPRODUCT($R$42:$R$42,$Q$42:$Q$42),0)</f>
        <v>0</v>
      </c>
      <c r="W43" s="16" t="n">
        <f aca="false">IF(U43&gt;1,SUMPRODUCT($R$42:$R$42,$Q$42:$Q$42,($O$42:$O$42-V43)^2),0)</f>
        <v>0</v>
      </c>
      <c r="X43" s="16" t="n">
        <f aca="false">IF(U43&gt;1,SUMPRODUCT($R$42:$R$42,$Q$42:$Q$42)-SUMPRODUCT($R$42:$R$42,$Q$42:$Q$42,$Q$42:$Q$42)/SUMPRODUCT($R$42:$R$42,$Q$42:$Q$42),0)</f>
        <v>0</v>
      </c>
      <c r="Y43" s="16" t="n">
        <f aca="false">IF(X43&gt;0,MAX(0,(W43-(U43-1))/X43),0)</f>
        <v>0</v>
      </c>
      <c r="Z43" s="18" t="n">
        <f aca="false">IF(AND(U43&gt;1,W43&gt;0),MAX(0,(W43-(U43-1))/W43),0)</f>
        <v>0</v>
      </c>
      <c r="AA43" s="16" t="n">
        <f aca="false">IF(SUM($S$42:$S$42)&gt;0,SUMPRODUCT($S$42:$S$42,$O$42:$O$42)/SUM($S$42:$S$42),0)</f>
        <v>0</v>
      </c>
      <c r="AB43" s="16" t="n">
        <f aca="false">IF(SUM($S$42:$S$42)&gt;0,SQRT(1/SUM($S$42:$S$42)),0)</f>
        <v>0</v>
      </c>
    </row>
    <row r="45" customFormat="false" ht="15" hidden="false" customHeight="false" outlineLevel="0" collapsed="false">
      <c r="A45" s="8" t="s">
        <v>145</v>
      </c>
      <c r="B45" s="9"/>
      <c r="C45" s="9"/>
      <c r="D45" s="9"/>
      <c r="E45" s="9"/>
      <c r="F45" s="9"/>
      <c r="G45" s="9"/>
      <c r="H45" s="9"/>
      <c r="I45" s="9"/>
      <c r="J45" s="9"/>
      <c r="K45" s="9"/>
      <c r="L45" s="9"/>
      <c r="M45" s="9"/>
      <c r="N45" s="9"/>
      <c r="O45" s="9"/>
      <c r="P45" s="9"/>
      <c r="Q45" s="9"/>
      <c r="R45" s="9"/>
      <c r="S45" s="9"/>
      <c r="T45" s="9"/>
    </row>
    <row r="46" customFormat="false" ht="15" hidden="false" customHeight="false" outlineLevel="0" collapsed="false">
      <c r="A46" s="10" t="s">
        <v>145</v>
      </c>
      <c r="B46" s="10" t="s">
        <v>146</v>
      </c>
      <c r="C46" s="10" t="n">
        <v>2019</v>
      </c>
      <c r="D46" s="10" t="s">
        <v>91</v>
      </c>
      <c r="E46" s="10" t="s">
        <v>92</v>
      </c>
      <c r="F46" s="10" t="s">
        <v>147</v>
      </c>
      <c r="G46" s="11" t="n">
        <v>348250</v>
      </c>
      <c r="H46" s="10" t="s">
        <v>122</v>
      </c>
      <c r="I46" s="10" t="s">
        <v>123</v>
      </c>
      <c r="J46" s="12" t="n">
        <v>1.26</v>
      </c>
      <c r="K46" s="12" t="n">
        <v>1.05</v>
      </c>
      <c r="L46" s="12" t="n">
        <v>1.51</v>
      </c>
      <c r="M46" s="10" t="s">
        <v>140</v>
      </c>
      <c r="N46" s="14"/>
      <c r="O46" s="13"/>
      <c r="P46" s="13"/>
      <c r="Q46" s="13"/>
      <c r="R46" s="14" t="n">
        <v>0</v>
      </c>
      <c r="S46" s="13" t="n">
        <f aca="false">IF(AND(R46=1,P46&gt;0),1/(P46^2+$Y$47),0)</f>
        <v>0</v>
      </c>
      <c r="T46" s="15" t="s">
        <v>148</v>
      </c>
    </row>
    <row r="47" customFormat="false" ht="15" hidden="false" customHeight="false" outlineLevel="0" collapsed="false">
      <c r="A47" s="16"/>
      <c r="B47" s="16" t="s">
        <v>106</v>
      </c>
      <c r="C47" s="16"/>
      <c r="D47" s="16"/>
      <c r="E47" s="16"/>
      <c r="F47" s="16"/>
      <c r="G47" s="16"/>
      <c r="H47" s="16"/>
      <c r="I47" s="16"/>
      <c r="J47" s="17" t="str">
        <f aca="false">IF(U47&gt;0,EXP(AA47),"")</f>
        <v/>
      </c>
      <c r="K47" s="17" t="str">
        <f aca="false">IF(U47&gt;0,EXP(AA47-1.959964*AB47),"")</f>
        <v/>
      </c>
      <c r="L47" s="17" t="str">
        <f aca="false">IF(U47&gt;0,EXP(AA47+1.959964*AB47),"")</f>
        <v/>
      </c>
      <c r="M47" s="16" t="s">
        <v>107</v>
      </c>
      <c r="N47" s="17" t="str">
        <f aca="false">IF(U47&gt;0,EXP(AA47),"")</f>
        <v/>
      </c>
      <c r="O47" s="16"/>
      <c r="P47" s="16"/>
      <c r="Q47" s="16"/>
      <c r="R47" s="16"/>
      <c r="S47" s="16"/>
      <c r="T47" s="16"/>
      <c r="U47" s="16" t="n">
        <f aca="false">SUM($R$46:$R$46)</f>
        <v>0</v>
      </c>
      <c r="V47" s="16" t="n">
        <f aca="false">IF(U47&gt;0,SUMPRODUCT($R$46:$R$46,$Q$46:$Q$46,$O$46:$O$46)/SUMPRODUCT($R$46:$R$46,$Q$46:$Q$46),0)</f>
        <v>0</v>
      </c>
      <c r="W47" s="16" t="n">
        <f aca="false">IF(U47&gt;1,SUMPRODUCT($R$46:$R$46,$Q$46:$Q$46,($O$46:$O$46-V47)^2),0)</f>
        <v>0</v>
      </c>
      <c r="X47" s="16" t="n">
        <f aca="false">IF(U47&gt;1,SUMPRODUCT($R$46:$R$46,$Q$46:$Q$46)-SUMPRODUCT($R$46:$R$46,$Q$46:$Q$46,$Q$46:$Q$46)/SUMPRODUCT($R$46:$R$46,$Q$46:$Q$46),0)</f>
        <v>0</v>
      </c>
      <c r="Y47" s="16" t="n">
        <f aca="false">IF(X47&gt;0,MAX(0,(W47-(U47-1))/X47),0)</f>
        <v>0</v>
      </c>
      <c r="Z47" s="18" t="n">
        <f aca="false">IF(AND(U47&gt;1,W47&gt;0),MAX(0,(W47-(U47-1))/W47),0)</f>
        <v>0</v>
      </c>
      <c r="AA47" s="16" t="n">
        <f aca="false">IF(SUM($S$46:$S$46)&gt;0,SUMPRODUCT($S$46:$S$46,$O$46:$O$46)/SUM($S$46:$S$46),0)</f>
        <v>0</v>
      </c>
      <c r="AB47" s="16" t="n">
        <f aca="false">IF(SUM($S$46:$S$46)&gt;0,SQRT(1/SUM($S$46:$S$46)),0)</f>
        <v>0</v>
      </c>
    </row>
    <row r="49" customFormat="false" ht="15" hidden="false" customHeight="false" outlineLevel="0" collapsed="false">
      <c r="A49" s="8" t="s">
        <v>149</v>
      </c>
      <c r="B49" s="9"/>
      <c r="C49" s="9"/>
      <c r="D49" s="9"/>
      <c r="E49" s="9"/>
      <c r="F49" s="9"/>
      <c r="G49" s="9"/>
      <c r="H49" s="9"/>
      <c r="I49" s="9"/>
      <c r="J49" s="9"/>
      <c r="K49" s="9"/>
      <c r="L49" s="9"/>
      <c r="M49" s="9"/>
      <c r="N49" s="9"/>
      <c r="O49" s="9"/>
      <c r="P49" s="9"/>
      <c r="Q49" s="9"/>
      <c r="R49" s="9"/>
      <c r="S49" s="9"/>
      <c r="T49" s="9"/>
    </row>
    <row r="50" customFormat="false" ht="15" hidden="false" customHeight="false" outlineLevel="0" collapsed="false">
      <c r="A50" s="10" t="s">
        <v>149</v>
      </c>
      <c r="B50" s="10" t="s">
        <v>119</v>
      </c>
      <c r="C50" s="10" t="n">
        <v>2021</v>
      </c>
      <c r="D50" s="10" t="s">
        <v>91</v>
      </c>
      <c r="E50" s="10" t="s">
        <v>150</v>
      </c>
      <c r="F50" s="10" t="s">
        <v>98</v>
      </c>
      <c r="G50" s="11" t="n">
        <v>27207</v>
      </c>
      <c r="H50" s="10" t="s">
        <v>151</v>
      </c>
      <c r="I50" s="10" t="s">
        <v>85</v>
      </c>
      <c r="J50" s="12" t="n">
        <v>1.65</v>
      </c>
      <c r="K50" s="12" t="n">
        <v>0.97</v>
      </c>
      <c r="L50" s="12" t="n">
        <v>2.81</v>
      </c>
      <c r="M50" s="10" t="s">
        <v>140</v>
      </c>
      <c r="N50" s="14"/>
      <c r="O50" s="13"/>
      <c r="P50" s="13"/>
      <c r="Q50" s="13"/>
      <c r="R50" s="14" t="n">
        <v>0</v>
      </c>
      <c r="S50" s="13" t="n">
        <f aca="false">IF(AND(R50=1,P50&gt;0),1/(P50^2+$Y$51),0)</f>
        <v>0</v>
      </c>
      <c r="T50" s="15" t="s">
        <v>152</v>
      </c>
    </row>
    <row r="51" customFormat="false" ht="15" hidden="false" customHeight="false" outlineLevel="0" collapsed="false">
      <c r="A51" s="16"/>
      <c r="B51" s="16" t="s">
        <v>106</v>
      </c>
      <c r="C51" s="16"/>
      <c r="D51" s="16"/>
      <c r="E51" s="16"/>
      <c r="F51" s="16"/>
      <c r="G51" s="16"/>
      <c r="H51" s="16"/>
      <c r="I51" s="16"/>
      <c r="J51" s="17" t="str">
        <f aca="false">IF(U51&gt;0,EXP(AA51),"")</f>
        <v/>
      </c>
      <c r="K51" s="17" t="str">
        <f aca="false">IF(U51&gt;0,EXP(AA51-1.959964*AB51),"")</f>
        <v/>
      </c>
      <c r="L51" s="17" t="str">
        <f aca="false">IF(U51&gt;0,EXP(AA51+1.959964*AB51),"")</f>
        <v/>
      </c>
      <c r="M51" s="16" t="s">
        <v>107</v>
      </c>
      <c r="N51" s="17" t="str">
        <f aca="false">IF(U51&gt;0,EXP(AA51),"")</f>
        <v/>
      </c>
      <c r="O51" s="16"/>
      <c r="P51" s="16"/>
      <c r="Q51" s="16"/>
      <c r="R51" s="16"/>
      <c r="S51" s="16"/>
      <c r="T51" s="16"/>
      <c r="U51" s="16" t="n">
        <f aca="false">SUM($R$50:$R$50)</f>
        <v>0</v>
      </c>
      <c r="V51" s="16" t="n">
        <f aca="false">IF(U51&gt;0,SUMPRODUCT($R$50:$R$50,$Q$50:$Q$50,$O$50:$O$50)/SUMPRODUCT($R$50:$R$50,$Q$50:$Q$50),0)</f>
        <v>0</v>
      </c>
      <c r="W51" s="16" t="n">
        <f aca="false">IF(U51&gt;1,SUMPRODUCT($R$50:$R$50,$Q$50:$Q$50,($O$50:$O$50-V51)^2),0)</f>
        <v>0</v>
      </c>
      <c r="X51" s="16" t="n">
        <f aca="false">IF(U51&gt;1,SUMPRODUCT($R$50:$R$50,$Q$50:$Q$50)-SUMPRODUCT($R$50:$R$50,$Q$50:$Q$50,$Q$50:$Q$50)/SUMPRODUCT($R$50:$R$50,$Q$50:$Q$50),0)</f>
        <v>0</v>
      </c>
      <c r="Y51" s="16" t="n">
        <f aca="false">IF(X51&gt;0,MAX(0,(W51-(U51-1))/X51),0)</f>
        <v>0</v>
      </c>
      <c r="Z51" s="18" t="n">
        <f aca="false">IF(AND(U51&gt;1,W51&gt;0),MAX(0,(W51-(U51-1))/W51),0)</f>
        <v>0</v>
      </c>
      <c r="AA51" s="16" t="n">
        <f aca="false">IF(SUM($S$50:$S$50)&gt;0,SUMPRODUCT($S$50:$S$50,$O$50:$O$50)/SUM($S$50:$S$50),0)</f>
        <v>0</v>
      </c>
      <c r="AB51" s="16" t="n">
        <f aca="false">IF(SUM($S$50:$S$50)&gt;0,SQRT(1/SUM($S$50:$S$50)),0)</f>
        <v>0</v>
      </c>
    </row>
    <row r="53" customFormat="false" ht="15" hidden="false" customHeight="false" outlineLevel="0" collapsed="false">
      <c r="A53" s="8" t="s">
        <v>153</v>
      </c>
      <c r="B53" s="9"/>
      <c r="C53" s="9"/>
      <c r="D53" s="9"/>
      <c r="E53" s="9"/>
      <c r="F53" s="9"/>
      <c r="G53" s="9"/>
      <c r="H53" s="9"/>
      <c r="I53" s="9"/>
      <c r="J53" s="9"/>
      <c r="K53" s="9"/>
      <c r="L53" s="9"/>
      <c r="M53" s="9"/>
      <c r="N53" s="9"/>
      <c r="O53" s="9"/>
      <c r="P53" s="9"/>
      <c r="Q53" s="9"/>
      <c r="R53" s="9"/>
      <c r="S53" s="9"/>
      <c r="T53" s="9"/>
    </row>
    <row r="54" customFormat="false" ht="15" hidden="false" customHeight="false" outlineLevel="0" collapsed="false">
      <c r="A54" s="10" t="s">
        <v>153</v>
      </c>
      <c r="B54" s="10" t="s">
        <v>154</v>
      </c>
      <c r="C54" s="10" t="n">
        <v>2021</v>
      </c>
      <c r="D54" s="10" t="s">
        <v>91</v>
      </c>
      <c r="E54" s="10" t="s">
        <v>150</v>
      </c>
      <c r="F54" s="10" t="s">
        <v>155</v>
      </c>
      <c r="G54" s="11" t="n">
        <v>428</v>
      </c>
      <c r="H54" s="10" t="s">
        <v>156</v>
      </c>
      <c r="I54" s="10" t="s">
        <v>85</v>
      </c>
      <c r="J54" s="12" t="n">
        <v>1.76</v>
      </c>
      <c r="K54" s="12" t="n">
        <v>0.91</v>
      </c>
      <c r="L54" s="12" t="n">
        <v>3.41</v>
      </c>
      <c r="M54" s="10" t="s">
        <v>140</v>
      </c>
      <c r="N54" s="14"/>
      <c r="O54" s="13"/>
      <c r="P54" s="13"/>
      <c r="Q54" s="13"/>
      <c r="R54" s="14" t="n">
        <v>0</v>
      </c>
      <c r="S54" s="13" t="n">
        <f aca="false">IF(AND(R54=1,P54&gt;0),1/(P54^2+$Y$55),0)</f>
        <v>0</v>
      </c>
      <c r="T54" s="15" t="s">
        <v>157</v>
      </c>
    </row>
    <row r="55" customFormat="false" ht="15" hidden="false" customHeight="false" outlineLevel="0" collapsed="false">
      <c r="A55" s="16"/>
      <c r="B55" s="16" t="s">
        <v>106</v>
      </c>
      <c r="C55" s="16"/>
      <c r="D55" s="16"/>
      <c r="E55" s="16"/>
      <c r="F55" s="16"/>
      <c r="G55" s="16"/>
      <c r="H55" s="16"/>
      <c r="I55" s="16"/>
      <c r="J55" s="17" t="str">
        <f aca="false">IF(U55&gt;0,EXP(AA55),"")</f>
        <v/>
      </c>
      <c r="K55" s="17" t="str">
        <f aca="false">IF(U55&gt;0,EXP(AA55-1.959964*AB55),"")</f>
        <v/>
      </c>
      <c r="L55" s="17" t="str">
        <f aca="false">IF(U55&gt;0,EXP(AA55+1.959964*AB55),"")</f>
        <v/>
      </c>
      <c r="M55" s="16" t="s">
        <v>107</v>
      </c>
      <c r="N55" s="17" t="str">
        <f aca="false">IF(U55&gt;0,EXP(AA55),"")</f>
        <v/>
      </c>
      <c r="O55" s="16"/>
      <c r="P55" s="16"/>
      <c r="Q55" s="16"/>
      <c r="R55" s="16"/>
      <c r="S55" s="16"/>
      <c r="T55" s="16"/>
      <c r="U55" s="16" t="n">
        <f aca="false">SUM($R$54:$R$54)</f>
        <v>0</v>
      </c>
      <c r="V55" s="16" t="n">
        <f aca="false">IF(U55&gt;0,SUMPRODUCT($R$54:$R$54,$Q$54:$Q$54,$O$54:$O$54)/SUMPRODUCT($R$54:$R$54,$Q$54:$Q$54),0)</f>
        <v>0</v>
      </c>
      <c r="W55" s="16" t="n">
        <f aca="false">IF(U55&gt;1,SUMPRODUCT($R$54:$R$54,$Q$54:$Q$54,($O$54:$O$54-V55)^2),0)</f>
        <v>0</v>
      </c>
      <c r="X55" s="16" t="n">
        <f aca="false">IF(U55&gt;1,SUMPRODUCT($R$54:$R$54,$Q$54:$Q$54)-SUMPRODUCT($R$54:$R$54,$Q$54:$Q$54,$Q$54:$Q$54)/SUMPRODUCT($R$54:$R$54,$Q$54:$Q$54),0)</f>
        <v>0</v>
      </c>
      <c r="Y55" s="16" t="n">
        <f aca="false">IF(X55&gt;0,MAX(0,(W55-(U55-1))/X55),0)</f>
        <v>0</v>
      </c>
      <c r="Z55" s="18" t="n">
        <f aca="false">IF(AND(U55&gt;1,W55&gt;0),MAX(0,(W55-(U55-1))/W55),0)</f>
        <v>0</v>
      </c>
      <c r="AA55" s="16" t="n">
        <f aca="false">IF(SUM($S$54:$S$54)&gt;0,SUMPRODUCT($S$54:$S$54,$O$54:$O$54)/SUM($S$54:$S$54),0)</f>
        <v>0</v>
      </c>
      <c r="AB55" s="16" t="n">
        <f aca="false">IF(SUM($S$54:$S$54)&gt;0,SQRT(1/SUM($S$54:$S$54)),0)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46"/>
    <col collapsed="false" customWidth="true" hidden="false" outlineLevel="0" max="4" min="4" style="0" width="5"/>
    <col collapsed="false" customWidth="true" hidden="false" outlineLevel="0" max="5" min="5" style="0" width="14"/>
    <col collapsed="false" customWidth="true" hidden="false" outlineLevel="0" max="7" min="6" style="0" width="10"/>
    <col collapsed="false" customWidth="true" hidden="false" outlineLevel="0" max="8" min="8" style="0" width="8"/>
    <col collapsed="false" customWidth="true" hidden="false" outlineLevel="0" max="9" min="9" style="0" width="34"/>
    <col collapsed="false" customWidth="true" hidden="false" outlineLevel="0" max="17" min="10" style="0" width="9"/>
  </cols>
  <sheetData>
    <row r="1" customFormat="false" ht="17.35" hidden="false" customHeight="false" outlineLevel="0" collapsed="false">
      <c r="A1" s="19" t="s">
        <v>158</v>
      </c>
    </row>
    <row r="2" customFormat="false" ht="39.75" hidden="false" customHeight="true" outlineLevel="0" collapsed="false">
      <c r="A2" s="20" t="s">
        <v>159</v>
      </c>
      <c r="B2" s="20"/>
      <c r="C2" s="20"/>
      <c r="D2" s="20"/>
      <c r="E2" s="20"/>
      <c r="F2" s="20"/>
      <c r="G2" s="20"/>
      <c r="H2" s="20"/>
    </row>
    <row r="4" customFormat="false" ht="43.5" hidden="false" customHeight="true" outlineLevel="0" collapsed="false">
      <c r="A4" s="6" t="s">
        <v>27</v>
      </c>
      <c r="B4" s="6" t="s">
        <v>160</v>
      </c>
      <c r="C4" s="6" t="s">
        <v>161</v>
      </c>
      <c r="D4" s="6" t="s">
        <v>47</v>
      </c>
      <c r="E4" s="6" t="s">
        <v>162</v>
      </c>
      <c r="F4" s="6" t="s">
        <v>37</v>
      </c>
      <c r="G4" s="6" t="s">
        <v>38</v>
      </c>
      <c r="H4" s="6" t="s">
        <v>52</v>
      </c>
      <c r="I4" s="6" t="s">
        <v>163</v>
      </c>
      <c r="J4" s="21" t="s">
        <v>47</v>
      </c>
      <c r="K4" s="21" t="s">
        <v>48</v>
      </c>
      <c r="L4" s="21" t="s">
        <v>49</v>
      </c>
      <c r="M4" s="21" t="s">
        <v>50</v>
      </c>
      <c r="N4" s="21" t="s">
        <v>51</v>
      </c>
      <c r="O4" s="21" t="s">
        <v>52</v>
      </c>
      <c r="P4" s="21" t="s">
        <v>53</v>
      </c>
      <c r="Q4" s="21" t="s">
        <v>54</v>
      </c>
    </row>
    <row r="5" customFormat="false" ht="15" hidden="false" customHeight="false" outlineLevel="0" collapsed="false">
      <c r="A5" s="22" t="s">
        <v>55</v>
      </c>
      <c r="B5" s="23" t="s">
        <v>164</v>
      </c>
      <c r="C5" s="24" t="s">
        <v>165</v>
      </c>
      <c r="D5" s="25" t="n">
        <f aca="false">J5</f>
        <v>3</v>
      </c>
      <c r="E5" s="26" t="n">
        <f aca="false">EXP(P5)</f>
        <v>1.10976826471586</v>
      </c>
      <c r="F5" s="26" t="n">
        <f aca="false">EXP(P5-1.959964*Q5)</f>
        <v>1.06285493455264</v>
      </c>
      <c r="G5" s="26" t="n">
        <f aca="false">EXP(P5+1.959964*Q5)</f>
        <v>1.15875230130895</v>
      </c>
      <c r="H5" s="27" t="n">
        <f aca="false">IF(J5&gt;1,O5,"")</f>
        <v>0</v>
      </c>
      <c r="I5" s="15"/>
      <c r="J5" s="0" t="n">
        <v>3</v>
      </c>
      <c r="K5" s="28" t="n">
        <f aca="false">SUMPRODUCT(1/$B$120:$B$122^2,$A$120:$A$122)/SUMPRODUCT(1/$B$120:$B$122^2)</f>
        <v>0.104151223002389</v>
      </c>
      <c r="L5" s="28" t="n">
        <f aca="false">IF(J5&gt;1,SUMPRODUCT(1/$B$120:$B$122^2,($A$120:$A$122-K5)^2),0)</f>
        <v>1.68464084144473</v>
      </c>
      <c r="M5" s="28" t="n">
        <f aca="false">IF(J5&gt;1,SUMPRODUCT(1/$B$120:$B$122^2)-SUMPRODUCT(1/$B$120:$B$122^2,1/$B$120:$B$122^2)/SUMPRODUCT(1/$B$120:$B$122^2),0)</f>
        <v>1265.82981384673</v>
      </c>
      <c r="N5" s="28" t="n">
        <f aca="false">IF(M5&gt;0,MAX(0,(L5-(J5-1))/M5),0)</f>
        <v>0</v>
      </c>
      <c r="O5" s="28" t="n">
        <f aca="false">IF(AND(J5&gt;1,L5&gt;0),MAX(0,(L5-(J5-1))/L5),0)</f>
        <v>0</v>
      </c>
      <c r="P5" s="28" t="n">
        <f aca="false">SUMPRODUCT(1/($B$120:$B$122^2+N5),$A$120:$A$122)/SUMPRODUCT(1/($B$120:$B$122^2+N5))</f>
        <v>0.104151223002389</v>
      </c>
      <c r="Q5" s="28" t="n">
        <f aca="false">SQRT(1/SUMPRODUCT(1/($B$120:$B$122^2+N5)))</f>
        <v>0.0220374460554937</v>
      </c>
    </row>
    <row r="6" customFormat="false" ht="15" hidden="false" customHeight="false" outlineLevel="0" collapsed="false">
      <c r="A6" s="29" t="s">
        <v>55</v>
      </c>
      <c r="B6" s="10" t="s">
        <v>166</v>
      </c>
      <c r="C6" s="15" t="s">
        <v>167</v>
      </c>
      <c r="D6" s="14" t="n">
        <f aca="false">J6</f>
        <v>2</v>
      </c>
      <c r="E6" s="13" t="n">
        <f aca="false">EXP(P6)</f>
        <v>1.0470037086985</v>
      </c>
      <c r="F6" s="13" t="n">
        <f aca="false">EXP(P6-1.959964*Q6)</f>
        <v>1.02733913777452</v>
      </c>
      <c r="G6" s="13" t="n">
        <f aca="false">EXP(P6+1.959964*Q6)</f>
        <v>1.06704468439029</v>
      </c>
      <c r="H6" s="30" t="n">
        <f aca="false">IF(J6&gt;1,O6,"")</f>
        <v>0</v>
      </c>
      <c r="I6" s="15"/>
      <c r="J6" s="0" t="n">
        <v>2</v>
      </c>
      <c r="K6" s="28" t="n">
        <f aca="false">SUMPRODUCT(1/$B$124:$B$125^2,$A$124:$A$125)/SUMPRODUCT(1/$B$124:$B$125^2)</f>
        <v>0.045932474096546</v>
      </c>
      <c r="L6" s="28" t="n">
        <f aca="false">IF(J6&gt;1,SUMPRODUCT(1/$B$124:$B$125^2,($A$124:$A$125-K6)^2),0)</f>
        <v>0.0235550192100515</v>
      </c>
      <c r="M6" s="28" t="n">
        <f aca="false">IF(J6&gt;1,SUMPRODUCT(1/$B$124:$B$125^2)-SUMPRODUCT(1/$B$124:$B$125^2,1/$B$124:$B$125^2)/SUMPRODUCT(1/$B$124:$B$125^2),0)</f>
        <v>4766.2155356045</v>
      </c>
      <c r="N6" s="28" t="n">
        <f aca="false">IF(M6&gt;0,MAX(0,(L6-(J6-1))/M6),0)</f>
        <v>0</v>
      </c>
      <c r="O6" s="28" t="n">
        <f aca="false">IF(AND(J6&gt;1,L6&gt;0),MAX(0,(L6-(J6-1))/L6),0)</f>
        <v>0</v>
      </c>
      <c r="P6" s="28" t="n">
        <f aca="false">SUMPRODUCT(1/($B$124:$B$125^2+N6),$A$124:$A$125)/SUMPRODUCT(1/($B$124:$B$125^2+N6))</f>
        <v>0.045932474096546</v>
      </c>
      <c r="Q6" s="28" t="n">
        <f aca="false">SQRT(1/SUMPRODUCT(1/($B$124:$B$125^2+N6)))</f>
        <v>0.00967383884349299</v>
      </c>
    </row>
    <row r="7" customFormat="false" ht="15" hidden="false" customHeight="false" outlineLevel="0" collapsed="false">
      <c r="A7" s="29" t="s">
        <v>55</v>
      </c>
      <c r="B7" s="10" t="s">
        <v>168</v>
      </c>
      <c r="C7" s="15" t="s">
        <v>169</v>
      </c>
      <c r="D7" s="14" t="n">
        <f aca="false">J7</f>
        <v>3</v>
      </c>
      <c r="E7" s="13" t="n">
        <f aca="false">EXP(P7)</f>
        <v>1.0528968787916</v>
      </c>
      <c r="F7" s="13" t="n">
        <f aca="false">EXP(P7-1.959964*Q7)</f>
        <v>1.02649735084872</v>
      </c>
      <c r="G7" s="13" t="n">
        <f aca="false">EXP(P7+1.959964*Q7)</f>
        <v>1.07997535157056</v>
      </c>
      <c r="H7" s="30" t="n">
        <f aca="false">IF(J7&gt;1,O7,"")</f>
        <v>0.310255050459074</v>
      </c>
      <c r="I7" s="15"/>
      <c r="J7" s="0" t="n">
        <v>3</v>
      </c>
      <c r="K7" s="28" t="n">
        <f aca="false">SUMPRODUCT(1/$B$127:$B$129^2,$A$127:$A$129)/SUMPRODUCT(1/$B$127:$B$129^2)</f>
        <v>0.0492823087303682</v>
      </c>
      <c r="L7" s="28" t="n">
        <f aca="false">IF(J7&gt;1,SUMPRODUCT(1/$B$127:$B$129^2,($A$127:$A$129-K7)^2),0)</f>
        <v>2.89962253631744</v>
      </c>
      <c r="M7" s="28" t="n">
        <f aca="false">IF(J7&gt;1,SUMPRODUCT(1/$B$127:$B$129^2)-SUMPRODUCT(1/$B$127:$B$129^2,1/$B$127:$B$129^2)/SUMPRODUCT(1/$B$127:$B$129^2),0)</f>
        <v>5458.51309535672</v>
      </c>
      <c r="N7" s="28" t="n">
        <f aca="false">IF(M7&gt;0,MAX(0,(L7-(J7-1))/M7),0)</f>
        <v>0.000164810914731101</v>
      </c>
      <c r="O7" s="28" t="n">
        <f aca="false">IF(AND(J7&gt;1,L7&gt;0),MAX(0,(L7-(J7-1))/L7),0)</f>
        <v>0.310255050459074</v>
      </c>
      <c r="P7" s="28" t="n">
        <f aca="false">SUMPRODUCT(1/($B$127:$B$129^2+N7),$A$127:$A$129)/SUMPRODUCT(1/($B$127:$B$129^2+N7))</f>
        <v>0.051545297484126</v>
      </c>
      <c r="Q7" s="28" t="n">
        <f aca="false">SQRT(1/SUMPRODUCT(1/($B$127:$B$129^2+N7)))</f>
        <v>0.0129558097861564</v>
      </c>
    </row>
    <row r="8" customFormat="false" ht="15" hidden="false" customHeight="false" outlineLevel="0" collapsed="false">
      <c r="A8" s="29" t="s">
        <v>55</v>
      </c>
      <c r="B8" s="10" t="s">
        <v>170</v>
      </c>
      <c r="C8" s="15" t="s">
        <v>171</v>
      </c>
      <c r="D8" s="14" t="n">
        <f aca="false">J8</f>
        <v>3</v>
      </c>
      <c r="E8" s="13" t="n">
        <f aca="false">EXP(P8)</f>
        <v>1.05860690591234</v>
      </c>
      <c r="F8" s="13" t="n">
        <f aca="false">EXP(P8-1.959964*Q8)</f>
        <v>1.0243023936742</v>
      </c>
      <c r="G8" s="13" t="n">
        <f aca="false">EXP(P8+1.959964*Q8)</f>
        <v>1.09406029719945</v>
      </c>
      <c r="H8" s="30" t="n">
        <f aca="false">IF(J8&gt;1,O8,"")</f>
        <v>0.549602667584772</v>
      </c>
      <c r="I8" s="15"/>
      <c r="J8" s="0" t="n">
        <v>3</v>
      </c>
      <c r="K8" s="28" t="n">
        <f aca="false">SUMPRODUCT(1/$B$131:$B$133^2,$A$131:$A$133)/SUMPRODUCT(1/$B$131:$B$133^2)</f>
        <v>0.0503378477958618</v>
      </c>
      <c r="L8" s="28" t="n">
        <f aca="false">IF(J8&gt;1,SUMPRODUCT(1/$B$131:$B$133^2,($A$131:$A$133-K8)^2),0)</f>
        <v>4.44052363559776</v>
      </c>
      <c r="M8" s="28" t="n">
        <f aca="false">IF(J8&gt;1,SUMPRODUCT(1/$B$131:$B$133^2)-SUMPRODUCT(1/$B$131:$B$133^2,1/$B$131:$B$133^2)/SUMPRODUCT(1/$B$131:$B$133^2),0)</f>
        <v>5545.8415765245</v>
      </c>
      <c r="N8" s="28" t="n">
        <f aca="false">IF(M8&gt;0,MAX(0,(L8-(J8-1))/M8),0)</f>
        <v>0.000440063712949983</v>
      </c>
      <c r="O8" s="28" t="n">
        <f aca="false">IF(AND(J8&gt;1,L8&gt;0),MAX(0,(L8-(J8-1))/L8),0)</f>
        <v>0.549602667584772</v>
      </c>
      <c r="P8" s="28" t="n">
        <f aca="false">SUMPRODUCT(1/($B$131:$B$133^2+N8),$A$131:$A$133)/SUMPRODUCT(1/($B$131:$B$133^2+N8))</f>
        <v>0.0569538040482272</v>
      </c>
      <c r="Q8" s="28" t="n">
        <f aca="false">SQRT(1/SUMPRODUCT(1/($B$131:$B$133^2+N8)))</f>
        <v>0.0168074590669948</v>
      </c>
    </row>
    <row r="9" customFormat="false" ht="15" hidden="false" customHeight="false" outlineLevel="0" collapsed="false">
      <c r="A9" s="31" t="s">
        <v>55</v>
      </c>
      <c r="B9" s="32" t="s">
        <v>172</v>
      </c>
      <c r="C9" s="33" t="s">
        <v>173</v>
      </c>
      <c r="D9" s="34" t="n">
        <f aca="false">J9</f>
        <v>3</v>
      </c>
      <c r="E9" s="35" t="n">
        <f aca="false">EXP(P9)</f>
        <v>1.04995929731245</v>
      </c>
      <c r="F9" s="35" t="n">
        <f aca="false">EXP(P9-1.959964*Q9)</f>
        <v>1.03114805270563</v>
      </c>
      <c r="G9" s="35" t="n">
        <f aca="false">EXP(P9+1.959964*Q9)</f>
        <v>1.06911371564949</v>
      </c>
      <c r="H9" s="36" t="n">
        <f aca="false">IF(J9&gt;1,O9,"")</f>
        <v>0</v>
      </c>
      <c r="I9" s="37" t="s">
        <v>174</v>
      </c>
      <c r="J9" s="0" t="n">
        <v>3</v>
      </c>
      <c r="K9" s="28" t="n">
        <f aca="false">SUMPRODUCT(1/$B$135:$B$137^2,$A$135:$A$137)/SUMPRODUCT(1/$B$135:$B$137^2)</f>
        <v>0.0487513989537385</v>
      </c>
      <c r="L9" s="28" t="n">
        <f aca="false">IF(J9&gt;1,SUMPRODUCT(1/$B$135:$B$137^2,($A$135:$A$137-K9)^2),0)</f>
        <v>0.958201816864599</v>
      </c>
      <c r="M9" s="28" t="n">
        <f aca="false">IF(J9&gt;1,SUMPRODUCT(1/$B$135:$B$137^2)-SUMPRODUCT(1/$B$135:$B$137^2,1/$B$135:$B$137^2)/SUMPRODUCT(1/$B$135:$B$137^2),0)</f>
        <v>6274.78258413156</v>
      </c>
      <c r="N9" s="28" t="n">
        <f aca="false">IF(M9&gt;0,MAX(0,(L9-(J9-1))/M9),0)</f>
        <v>0</v>
      </c>
      <c r="O9" s="28" t="n">
        <f aca="false">IF(AND(J9&gt;1,L9&gt;0),MAX(0,(L9-(J9-1))/L9),0)</f>
        <v>0</v>
      </c>
      <c r="P9" s="28" t="n">
        <f aca="false">SUMPRODUCT(1/($B$135:$B$137^2+N9),$A$135:$A$137)/SUMPRODUCT(1/($B$135:$B$137^2+N9))</f>
        <v>0.0487513989537385</v>
      </c>
      <c r="Q9" s="28" t="n">
        <f aca="false">SQRT(1/SUMPRODUCT(1/($B$135:$B$137^2+N9)))</f>
        <v>0.00922394653992337</v>
      </c>
    </row>
    <row r="10" customFormat="false" ht="15" hidden="false" customHeight="false" outlineLevel="0" collapsed="false">
      <c r="A10" s="29" t="s">
        <v>55</v>
      </c>
      <c r="B10" s="10" t="s">
        <v>175</v>
      </c>
      <c r="C10" s="15" t="s">
        <v>176</v>
      </c>
      <c r="D10" s="14" t="n">
        <f aca="false">J10</f>
        <v>5</v>
      </c>
      <c r="E10" s="13" t="n">
        <f aca="false">EXP(P10)</f>
        <v>1.06843871089854</v>
      </c>
      <c r="F10" s="13" t="n">
        <f aca="false">EXP(P10-1.959964*Q10)</f>
        <v>1.03771733374242</v>
      </c>
      <c r="G10" s="13" t="n">
        <f aca="false">EXP(P10+1.959964*Q10)</f>
        <v>1.10006958718673</v>
      </c>
      <c r="H10" s="30" t="n">
        <f aca="false">IF(J10&gt;1,O10,"")</f>
        <v>0.470883692470563</v>
      </c>
      <c r="I10" s="15"/>
      <c r="J10" s="0" t="n">
        <v>5</v>
      </c>
      <c r="K10" s="28" t="n">
        <f aca="false">SUMPRODUCT(1/$B$139:$B$143^2,$A$139:$A$143)/SUMPRODUCT(1/$B$139:$B$143^2)</f>
        <v>0.055338536987265</v>
      </c>
      <c r="L10" s="28" t="n">
        <f aca="false">IF(J10&gt;1,SUMPRODUCT(1/$B$139:$B$143^2,($A$139:$A$143-K10)^2),0)</f>
        <v>7.55977455821934</v>
      </c>
      <c r="M10" s="28" t="n">
        <f aca="false">IF(J10&gt;1,SUMPRODUCT(1/$B$139:$B$143^2)-SUMPRODUCT(1/$B$139:$B$143^2,1/$B$139:$B$143^2)/SUMPRODUCT(1/$B$139:$B$143^2),0)</f>
        <v>7653.52547569639</v>
      </c>
      <c r="N10" s="28" t="n">
        <f aca="false">IF(M10&gt;0,MAX(0,(L10-(J10-1))/M10),0)</f>
        <v>0.000465115660687787</v>
      </c>
      <c r="O10" s="28" t="n">
        <f aca="false">IF(AND(J10&gt;1,L10&gt;0),MAX(0,(L10-(J10-1))/L10),0)</f>
        <v>0.470883692470563</v>
      </c>
      <c r="P10" s="28" t="n">
        <f aca="false">SUMPRODUCT(1/($B$139:$B$143^2+N10),$A$139:$A$143)/SUMPRODUCT(1/($B$139:$B$143^2+N10))</f>
        <v>0.0661984341867096</v>
      </c>
      <c r="Q10" s="28" t="n">
        <f aca="false">SQRT(1/SUMPRODUCT(1/($B$139:$B$143^2+N10)))</f>
        <v>0.0148854798841007</v>
      </c>
    </row>
    <row r="12" customFormat="false" ht="15" hidden="false" customHeight="false" outlineLevel="0" collapsed="false">
      <c r="A12" s="22" t="s">
        <v>108</v>
      </c>
      <c r="B12" s="23" t="s">
        <v>164</v>
      </c>
      <c r="C12" s="24" t="s">
        <v>177</v>
      </c>
      <c r="D12" s="25" t="n">
        <f aca="false">J12</f>
        <v>2</v>
      </c>
      <c r="E12" s="26" t="n">
        <f aca="false">EXP(P12)</f>
        <v>1.46844372092871</v>
      </c>
      <c r="F12" s="26" t="n">
        <f aca="false">EXP(P12-1.959964*Q12)</f>
        <v>1.30649007832243</v>
      </c>
      <c r="G12" s="26" t="n">
        <f aca="false">EXP(P12+1.959964*Q12)</f>
        <v>1.65047327745783</v>
      </c>
      <c r="H12" s="27" t="n">
        <f aca="false">IF(J12&gt;1,O12,"")</f>
        <v>0</v>
      </c>
      <c r="I12" s="15"/>
      <c r="J12" s="0" t="n">
        <v>2</v>
      </c>
      <c r="K12" s="28" t="n">
        <f aca="false">SUMPRODUCT(1/$B$145:$B$146^2,$A$145:$A$146)/SUMPRODUCT(1/$B$145:$B$146^2)</f>
        <v>0.38420314673332</v>
      </c>
      <c r="L12" s="28" t="n">
        <f aca="false">IF(J12&gt;1,SUMPRODUCT(1/$B$145:$B$146^2,($A$145:$A$146-K12)^2),0)</f>
        <v>0.00143271891899055</v>
      </c>
      <c r="M12" s="28" t="n">
        <f aca="false">IF(J12&gt;1,SUMPRODUCT(1/$B$145:$B$146^2)-SUMPRODUCT(1/$B$145:$B$146^2,1/$B$145:$B$146^2)/SUMPRODUCT(1/$B$145:$B$146^2),0)</f>
        <v>83.2303599183874</v>
      </c>
      <c r="N12" s="28" t="n">
        <f aca="false">IF(M12&gt;0,MAX(0,(L12-(J12-1))/M12),0)</f>
        <v>0</v>
      </c>
      <c r="O12" s="28" t="n">
        <f aca="false">IF(AND(J12&gt;1,L12&gt;0),MAX(0,(L12-(J12-1))/L12),0)</f>
        <v>0</v>
      </c>
      <c r="P12" s="28" t="n">
        <f aca="false">SUMPRODUCT(1/($B$145:$B$146^2+N12),$A$145:$A$146)/SUMPRODUCT(1/($B$145:$B$146^2+N12))</f>
        <v>0.38420314673332</v>
      </c>
      <c r="Q12" s="28" t="n">
        <f aca="false">SQRT(1/SUMPRODUCT(1/($B$145:$B$146^2+N12)))</f>
        <v>0.0596230006637118</v>
      </c>
    </row>
    <row r="13" customFormat="false" ht="15" hidden="false" customHeight="false" outlineLevel="0" collapsed="false">
      <c r="A13" s="29" t="s">
        <v>108</v>
      </c>
      <c r="B13" s="10" t="s">
        <v>166</v>
      </c>
      <c r="C13" s="15" t="s">
        <v>178</v>
      </c>
      <c r="D13" s="14" t="n">
        <f aca="false">J13</f>
        <v>1</v>
      </c>
      <c r="E13" s="13" t="n">
        <f aca="false">EXP(P13)</f>
        <v>1.4693280768</v>
      </c>
      <c r="F13" s="13" t="n">
        <f aca="false">EXP(P13-1.959964*Q13)</f>
        <v>1.08861573143442</v>
      </c>
      <c r="G13" s="13" t="n">
        <f aca="false">EXP(P13+1.959964*Q13)</f>
        <v>1.98318372124576</v>
      </c>
      <c r="H13" s="30" t="str">
        <f aca="false">IF(J13&gt;1,O13,"")</f>
        <v/>
      </c>
      <c r="I13" s="15"/>
      <c r="J13" s="0" t="n">
        <v>1</v>
      </c>
      <c r="K13" s="28" t="n">
        <f aca="false">SUMPRODUCT(1/$B$148:$B$148^2,$A$148:$A$148)/SUMPRODUCT(1/$B$148:$B$148^2)</f>
        <v>0.384805205680642</v>
      </c>
      <c r="L13" s="28" t="n">
        <f aca="false">IF(J13&gt;1,SUMPRODUCT(1/$B$148:$B$148^2,($A$148:$A$148-K13)^2),0)</f>
        <v>0</v>
      </c>
      <c r="M13" s="28" t="n">
        <f aca="false">IF(J13&gt;1,SUMPRODUCT(1/$B$148:$B$148^2)-SUMPRODUCT(1/$B$148:$B$148^2,1/$B$148:$B$148^2)/SUMPRODUCT(1/$B$148:$B$148^2),0)</f>
        <v>0</v>
      </c>
      <c r="N13" s="28" t="n">
        <f aca="false">IF(M13&gt;0,MAX(0,(L13-(J13-1))/M13),0)</f>
        <v>0</v>
      </c>
      <c r="O13" s="28" t="n">
        <f aca="false">IF(AND(J13&gt;1,L13&gt;0),MAX(0,(L13-(J13-1))/L13),0)</f>
        <v>0</v>
      </c>
      <c r="P13" s="28" t="n">
        <f aca="false">SUMPRODUCT(1/($B$148:$B$148^2+N13),$A$148:$A$148)/SUMPRODUCT(1/($B$148:$B$148^2+N13))</f>
        <v>0.384805205680642</v>
      </c>
      <c r="Q13" s="28" t="n">
        <f aca="false">SQRT(1/SUMPRODUCT(1/($B$148:$B$148^2+N13)))</f>
        <v>0.153012140884959</v>
      </c>
    </row>
    <row r="14" customFormat="false" ht="15" hidden="false" customHeight="false" outlineLevel="0" collapsed="false">
      <c r="A14" s="29" t="s">
        <v>108</v>
      </c>
      <c r="B14" s="10" t="s">
        <v>168</v>
      </c>
      <c r="C14" s="15" t="s">
        <v>179</v>
      </c>
      <c r="D14" s="14" t="n">
        <f aca="false">J14</f>
        <v>2</v>
      </c>
      <c r="E14" s="13" t="n">
        <f aca="false">EXP(P14)</f>
        <v>1.46501651413894</v>
      </c>
      <c r="F14" s="13" t="n">
        <f aca="false">EXP(P14-1.959964*Q14)</f>
        <v>1.19621954151562</v>
      </c>
      <c r="G14" s="13" t="n">
        <f aca="false">EXP(P14+1.959964*Q14)</f>
        <v>1.79421361398298</v>
      </c>
      <c r="H14" s="30" t="n">
        <f aca="false">IF(J14&gt;1,O14,"")</f>
        <v>0</v>
      </c>
      <c r="I14" s="15"/>
      <c r="J14" s="0" t="n">
        <v>2</v>
      </c>
      <c r="K14" s="28" t="n">
        <f aca="false">SUMPRODUCT(1/$B$150:$B$151^2,$A$150:$A$151)/SUMPRODUCT(1/$B$150:$B$151^2)</f>
        <v>0.381866514855283</v>
      </c>
      <c r="L14" s="28" t="n">
        <f aca="false">IF(J14&gt;1,SUMPRODUCT(1/$B$150:$B$151^2,($A$150:$A$151-K14)^2),0)</f>
        <v>0.000679087118372134</v>
      </c>
      <c r="M14" s="28" t="n">
        <f aca="false">IF(J14&gt;1,SUMPRODUCT(1/$B$150:$B$151^2)-SUMPRODUCT(1/$B$150:$B$151^2,1/$B$150:$B$151^2)/SUMPRODUCT(1/$B$150:$B$151^2),0)</f>
        <v>46.3990117655665</v>
      </c>
      <c r="N14" s="28" t="n">
        <f aca="false">IF(M14&gt;0,MAX(0,(L14-(J14-1))/M14),0)</f>
        <v>0</v>
      </c>
      <c r="O14" s="28" t="n">
        <f aca="false">IF(AND(J14&gt;1,L14&gt;0),MAX(0,(L14-(J14-1))/L14),0)</f>
        <v>0</v>
      </c>
      <c r="P14" s="28" t="n">
        <f aca="false">SUMPRODUCT(1/($B$150:$B$151^2+N14),$A$150:$A$151)/SUMPRODUCT(1/($B$150:$B$151^2+N14))</f>
        <v>0.381866514855283</v>
      </c>
      <c r="Q14" s="28" t="n">
        <f aca="false">SQRT(1/SUMPRODUCT(1/($B$150:$B$151^2+N14)))</f>
        <v>0.103420426616175</v>
      </c>
    </row>
    <row r="15" customFormat="false" ht="15" hidden="false" customHeight="false" outlineLevel="0" collapsed="false">
      <c r="A15" s="29" t="s">
        <v>108</v>
      </c>
      <c r="B15" s="10" t="s">
        <v>170</v>
      </c>
      <c r="C15" s="15" t="s">
        <v>178</v>
      </c>
      <c r="D15" s="14" t="n">
        <f aca="false">J15</f>
        <v>1</v>
      </c>
      <c r="E15" s="13" t="n">
        <f aca="false">EXP(P15)</f>
        <v>1.4693280768</v>
      </c>
      <c r="F15" s="13" t="n">
        <f aca="false">EXP(P15-1.959964*Q15)</f>
        <v>1.08861573143442</v>
      </c>
      <c r="G15" s="13" t="n">
        <f aca="false">EXP(P15+1.959964*Q15)</f>
        <v>1.98318372124576</v>
      </c>
      <c r="H15" s="30" t="str">
        <f aca="false">IF(J15&gt;1,O15,"")</f>
        <v/>
      </c>
      <c r="I15" s="15"/>
      <c r="J15" s="0" t="n">
        <v>1</v>
      </c>
      <c r="K15" s="28" t="n">
        <f aca="false">SUMPRODUCT(1/$B$153:$B$153^2,$A$153:$A$153)/SUMPRODUCT(1/$B$153:$B$153^2)</f>
        <v>0.384805205680642</v>
      </c>
      <c r="L15" s="28" t="n">
        <f aca="false">IF(J15&gt;1,SUMPRODUCT(1/$B$153:$B$153^2,($A$153:$A$153-K15)^2),0)</f>
        <v>0</v>
      </c>
      <c r="M15" s="28" t="n">
        <f aca="false">IF(J15&gt;1,SUMPRODUCT(1/$B$153:$B$153^2)-SUMPRODUCT(1/$B$153:$B$153^2,1/$B$153:$B$153^2)/SUMPRODUCT(1/$B$153:$B$153^2),0)</f>
        <v>0</v>
      </c>
      <c r="N15" s="28" t="n">
        <f aca="false">IF(M15&gt;0,MAX(0,(L15-(J15-1))/M15),0)</f>
        <v>0</v>
      </c>
      <c r="O15" s="28" t="n">
        <f aca="false">IF(AND(J15&gt;1,L15&gt;0),MAX(0,(L15-(J15-1))/L15),0)</f>
        <v>0</v>
      </c>
      <c r="P15" s="28" t="n">
        <f aca="false">SUMPRODUCT(1/($B$153:$B$153^2+N15),$A$153:$A$153)/SUMPRODUCT(1/($B$153:$B$153^2+N15))</f>
        <v>0.384805205680642</v>
      </c>
      <c r="Q15" s="28" t="n">
        <f aca="false">SQRT(1/SUMPRODUCT(1/($B$153:$B$153^2+N15)))</f>
        <v>0.153012140884959</v>
      </c>
    </row>
    <row r="16" customFormat="false" ht="15" hidden="false" customHeight="false" outlineLevel="0" collapsed="false">
      <c r="A16" s="31" t="s">
        <v>108</v>
      </c>
      <c r="B16" s="32" t="s">
        <v>172</v>
      </c>
      <c r="C16" s="33" t="s">
        <v>180</v>
      </c>
      <c r="D16" s="34" t="n">
        <f aca="false">J16</f>
        <v>2</v>
      </c>
      <c r="E16" s="35" t="n">
        <f aca="false">EXP(P16)</f>
        <v>1.46989494365101</v>
      </c>
      <c r="F16" s="35" t="n">
        <f aca="false">EXP(P16-1.959964*Q16)</f>
        <v>1.30554238789585</v>
      </c>
      <c r="G16" s="35" t="n">
        <f aca="false">EXP(P16+1.959964*Q16)</f>
        <v>1.65493756878552</v>
      </c>
      <c r="H16" s="36" t="n">
        <f aca="false">IF(J16&gt;1,O16,"")</f>
        <v>0</v>
      </c>
      <c r="I16" s="37" t="s">
        <v>174</v>
      </c>
      <c r="J16" s="0" t="n">
        <v>2</v>
      </c>
      <c r="K16" s="28" t="n">
        <f aca="false">SUMPRODUCT(1/$B$155:$B$156^2,$A$155:$A$156)/SUMPRODUCT(1/$B$155:$B$156^2)</f>
        <v>0.385190931332688</v>
      </c>
      <c r="L16" s="28" t="n">
        <f aca="false">IF(J16&gt;1,SUMPRODUCT(1/$B$155:$B$156^2,($A$155:$A$156-K16)^2),0)</f>
        <v>7.53231224884302E-006</v>
      </c>
      <c r="M16" s="28" t="n">
        <f aca="false">IF(J16&gt;1,SUMPRODUCT(1/$B$155:$B$156^2)-SUMPRODUCT(1/$B$155:$B$156^2,1/$B$155:$B$156^2)/SUMPRODUCT(1/$B$155:$B$156^2),0)</f>
        <v>72.0701054499309</v>
      </c>
      <c r="N16" s="28" t="n">
        <f aca="false">IF(M16&gt;0,MAX(0,(L16-(J16-1))/M16),0)</f>
        <v>0</v>
      </c>
      <c r="O16" s="28" t="n">
        <f aca="false">IF(AND(J16&gt;1,L16&gt;0),MAX(0,(L16-(J16-1))/L16),0)</f>
        <v>0</v>
      </c>
      <c r="P16" s="28" t="n">
        <f aca="false">SUMPRODUCT(1/($B$155:$B$156^2+N16),$A$155:$A$156)/SUMPRODUCT(1/($B$155:$B$156^2+N16))</f>
        <v>0.385190931332688</v>
      </c>
      <c r="Q16" s="28" t="n">
        <f aca="false">SQRT(1/SUMPRODUCT(1/($B$155:$B$156^2+N16)))</f>
        <v>0.060497210151111</v>
      </c>
    </row>
    <row r="17" customFormat="false" ht="15" hidden="false" customHeight="false" outlineLevel="0" collapsed="false">
      <c r="A17" s="29" t="s">
        <v>108</v>
      </c>
      <c r="B17" s="10" t="s">
        <v>175</v>
      </c>
      <c r="C17" s="15" t="s">
        <v>181</v>
      </c>
      <c r="D17" s="14" t="n">
        <f aca="false">J17</f>
        <v>3</v>
      </c>
      <c r="E17" s="13" t="n">
        <f aca="false">EXP(P17)</f>
        <v>1.46856026726732</v>
      </c>
      <c r="F17" s="13" t="n">
        <f aca="false">EXP(P17-1.959964*Q17)</f>
        <v>1.31705461925257</v>
      </c>
      <c r="G17" s="13" t="n">
        <f aca="false">EXP(P17+1.959964*Q17)</f>
        <v>1.63749416848039</v>
      </c>
      <c r="H17" s="30" t="n">
        <f aca="false">IF(J17&gt;1,O17,"")</f>
        <v>0</v>
      </c>
      <c r="I17" s="15"/>
      <c r="J17" s="0" t="n">
        <v>3</v>
      </c>
      <c r="K17" s="28" t="n">
        <f aca="false">SUMPRODUCT(1/$B$158:$B$160^2,$A$158:$A$160)/SUMPRODUCT(1/$B$158:$B$160^2)</f>
        <v>0.38428251083302</v>
      </c>
      <c r="L17" s="28" t="n">
        <f aca="false">IF(J17&gt;1,SUMPRODUCT(1/$B$158:$B$160^2,($A$158:$A$160-K17)^2),0)</f>
        <v>0.00144616003875217</v>
      </c>
      <c r="M17" s="28" t="n">
        <f aca="false">IF(J17&gt;1,SUMPRODUCT(1/$B$158:$B$160^2)-SUMPRODUCT(1/$B$158:$B$160^2,1/$B$158:$B$160^2)/SUMPRODUCT(1/$B$158:$B$160^2),0)</f>
        <v>146.421860312081</v>
      </c>
      <c r="N17" s="28" t="n">
        <f aca="false">IF(M17&gt;0,MAX(0,(L17-(J17-1))/M17),0)</f>
        <v>0</v>
      </c>
      <c r="O17" s="28" t="n">
        <f aca="false">IF(AND(J17&gt;1,L17&gt;0),MAX(0,(L17-(J17-1))/L17),0)</f>
        <v>0</v>
      </c>
      <c r="P17" s="28" t="n">
        <f aca="false">SUMPRODUCT(1/($B$158:$B$160^2+N17),$A$158:$A$160)/SUMPRODUCT(1/($B$158:$B$160^2+N17))</f>
        <v>0.38428251083302</v>
      </c>
      <c r="Q17" s="28" t="n">
        <f aca="false">SQRT(1/SUMPRODUCT(1/($B$158:$B$160^2+N17)))</f>
        <v>0.0555543961289893</v>
      </c>
    </row>
    <row r="19" customFormat="false" ht="15" hidden="false" customHeight="false" outlineLevel="0" collapsed="false">
      <c r="A19" s="22" t="s">
        <v>127</v>
      </c>
      <c r="B19" s="23" t="s">
        <v>164</v>
      </c>
      <c r="C19" s="24" t="s">
        <v>182</v>
      </c>
      <c r="D19" s="25" t="n">
        <f aca="false">J19</f>
        <v>2</v>
      </c>
      <c r="E19" s="26" t="n">
        <f aca="false">EXP(P19)</f>
        <v>1.05395197756442</v>
      </c>
      <c r="F19" s="26" t="n">
        <f aca="false">EXP(P19-1.959964*Q19)</f>
        <v>0.853913181768433</v>
      </c>
      <c r="G19" s="26" t="n">
        <f aca="false">EXP(P19+1.959964*Q19)</f>
        <v>1.30085211790674</v>
      </c>
      <c r="H19" s="27" t="n">
        <f aca="false">IF(J19&gt;1,O19,"")</f>
        <v>0.865217029955716</v>
      </c>
      <c r="I19" s="15"/>
      <c r="J19" s="0" t="n">
        <v>2</v>
      </c>
      <c r="K19" s="28" t="n">
        <f aca="false">SUMPRODUCT(1/$B$162:$B$163^2,$A$162:$A$163)/SUMPRODUCT(1/$B$162:$B$163^2)</f>
        <v>0.0905266835950948</v>
      </c>
      <c r="L19" s="28" t="n">
        <f aca="false">IF(J19&gt;1,SUMPRODUCT(1/$B$162:$B$163^2,($A$162:$A$163-K19)^2),0)</f>
        <v>7.41933494766765</v>
      </c>
      <c r="M19" s="28" t="n">
        <f aca="false">IF(J19&gt;1,SUMPRODUCT(1/$B$162:$B$163^2)-SUMPRODUCT(1/$B$162:$B$163^2,1/$B$162:$B$163^2)/SUMPRODUCT(1/$B$162:$B$163^2),0)</f>
        <v>320.718179746981</v>
      </c>
      <c r="N19" s="28" t="n">
        <f aca="false">IF(M19&gt;0,MAX(0,(L19-(J19-1))/M19),0)</f>
        <v>0.0200155006888975</v>
      </c>
      <c r="O19" s="28" t="n">
        <f aca="false">IF(AND(J19&gt;1,L19&gt;0),MAX(0,(L19-(J19-1))/L19),0)</f>
        <v>0.865217029955716</v>
      </c>
      <c r="P19" s="28" t="n">
        <f aca="false">SUMPRODUCT(1/($B$162:$B$163^2+N19),$A$162:$A$163)/SUMPRODUCT(1/($B$162:$B$163^2+N19))</f>
        <v>0.0525468869980926</v>
      </c>
      <c r="Q19" s="28" t="n">
        <f aca="false">SQRT(1/SUMPRODUCT(1/($B$162:$B$163^2+N19)))</f>
        <v>0.107385971401597</v>
      </c>
    </row>
    <row r="20" customFormat="false" ht="15" hidden="false" customHeight="false" outlineLevel="0" collapsed="false">
      <c r="A20" s="38" t="s">
        <v>127</v>
      </c>
      <c r="B20" s="39" t="s">
        <v>166</v>
      </c>
      <c r="C20" s="40" t="s">
        <v>183</v>
      </c>
      <c r="D20" s="0" t="n">
        <v>0</v>
      </c>
      <c r="I20" s="40"/>
    </row>
    <row r="21" customFormat="false" ht="15" hidden="false" customHeight="false" outlineLevel="0" collapsed="false">
      <c r="A21" s="29" t="s">
        <v>127</v>
      </c>
      <c r="B21" s="10" t="s">
        <v>168</v>
      </c>
      <c r="C21" s="15" t="s">
        <v>184</v>
      </c>
      <c r="D21" s="14" t="n">
        <f aca="false">J21</f>
        <v>1</v>
      </c>
      <c r="E21" s="13" t="n">
        <f aca="false">EXP(P21)</f>
        <v>0.9409</v>
      </c>
      <c r="F21" s="13" t="n">
        <f aca="false">EXP(P21-1.959964*Q21)</f>
        <v>0.826306854175758</v>
      </c>
      <c r="G21" s="13" t="n">
        <f aca="false">EXP(P21+1.959964*Q21)</f>
        <v>1.07138504966546</v>
      </c>
      <c r="H21" s="30" t="str">
        <f aca="false">IF(J21&gt;1,O21,"")</f>
        <v/>
      </c>
      <c r="I21" s="15"/>
      <c r="J21" s="0" t="n">
        <v>1</v>
      </c>
      <c r="K21" s="28" t="n">
        <f aca="false">SUMPRODUCT(1/$B$165:$B$165^2,$A$165:$A$165)/SUMPRODUCT(1/$B$165:$B$165^2)</f>
        <v>-0.0609184149694171</v>
      </c>
      <c r="L21" s="28" t="n">
        <f aca="false">IF(J21&gt;1,SUMPRODUCT(1/$B$165:$B$165^2,($A$165:$A$165-K21)^2),0)</f>
        <v>0</v>
      </c>
      <c r="M21" s="28" t="n">
        <f aca="false">IF(J21&gt;1,SUMPRODUCT(1/$B$165:$B$165^2)-SUMPRODUCT(1/$B$165:$B$165^2,1/$B$165:$B$165^2)/SUMPRODUCT(1/$B$165:$B$165^2),0)</f>
        <v>0</v>
      </c>
      <c r="N21" s="28" t="n">
        <f aca="false">IF(M21&gt;0,MAX(0,(L21-(J21-1))/M21),0)</f>
        <v>0</v>
      </c>
      <c r="O21" s="28" t="n">
        <f aca="false">IF(AND(J21&gt;1,L21&gt;0),MAX(0,(L21-(J21-1))/L21),0)</f>
        <v>0</v>
      </c>
      <c r="P21" s="28" t="n">
        <f aca="false">SUMPRODUCT(1/($B$165:$B$165^2+N21),$A$165:$A$165)/SUMPRODUCT(1/($B$165:$B$165^2+N21))</f>
        <v>-0.0609184149694171</v>
      </c>
      <c r="Q21" s="28" t="n">
        <f aca="false">SQRT(1/SUMPRODUCT(1/($B$165:$B$165^2+N21)))</f>
        <v>0.0662617605828981</v>
      </c>
    </row>
    <row r="22" customFormat="false" ht="15" hidden="false" customHeight="false" outlineLevel="0" collapsed="false">
      <c r="A22" s="29" t="s">
        <v>127</v>
      </c>
      <c r="B22" s="10" t="s">
        <v>170</v>
      </c>
      <c r="C22" s="15" t="s">
        <v>185</v>
      </c>
      <c r="D22" s="14" t="n">
        <f aca="false">J22</f>
        <v>1</v>
      </c>
      <c r="E22" s="13" t="n">
        <f aca="false">EXP(P22)</f>
        <v>1.1667</v>
      </c>
      <c r="F22" s="13" t="n">
        <f aca="false">EXP(P22-1.959964*Q22)</f>
        <v>1.07249022672751</v>
      </c>
      <c r="G22" s="13" t="n">
        <f aca="false">EXP(P22+1.959964*Q22)</f>
        <v>1.2691853557989</v>
      </c>
      <c r="H22" s="30" t="str">
        <f aca="false">IF(J22&gt;1,O22,"")</f>
        <v/>
      </c>
      <c r="I22" s="15"/>
      <c r="J22" s="0" t="n">
        <v>1</v>
      </c>
      <c r="K22" s="28" t="n">
        <f aca="false">SUMPRODUCT(1/$B$167:$B$167^2,$A$167:$A$167)/SUMPRODUCT(1/$B$167:$B$167^2)</f>
        <v>0.154179250847674</v>
      </c>
      <c r="L22" s="28" t="n">
        <f aca="false">IF(J22&gt;1,SUMPRODUCT(1/$B$167:$B$167^2,($A$167:$A$167-K22)^2),0)</f>
        <v>0</v>
      </c>
      <c r="M22" s="28" t="n">
        <f aca="false">IF(J22&gt;1,SUMPRODUCT(1/$B$167:$B$167^2)-SUMPRODUCT(1/$B$167:$B$167^2,1/$B$167:$B$167^2)/SUMPRODUCT(1/$B$167:$B$167^2),0)</f>
        <v>0</v>
      </c>
      <c r="N22" s="28" t="n">
        <f aca="false">IF(M22&gt;0,MAX(0,(L22-(J22-1))/M22),0)</f>
        <v>0</v>
      </c>
      <c r="O22" s="28" t="n">
        <f aca="false">IF(AND(J22&gt;1,L22&gt;0),MAX(0,(L22-(J22-1))/L22),0)</f>
        <v>0</v>
      </c>
      <c r="P22" s="28" t="n">
        <f aca="false">SUMPRODUCT(1/($B$167:$B$167^2+N22),$A$167:$A$167)/SUMPRODUCT(1/($B$167:$B$167^2+N22))</f>
        <v>0.154179250847674</v>
      </c>
      <c r="Q22" s="28" t="n">
        <f aca="false">SQRT(1/SUMPRODUCT(1/($B$167:$B$167^2+N22)))</f>
        <v>0.0429579276341503</v>
      </c>
    </row>
    <row r="23" customFormat="false" ht="15" hidden="false" customHeight="false" outlineLevel="0" collapsed="false">
      <c r="A23" s="41" t="s">
        <v>127</v>
      </c>
      <c r="B23" s="42" t="s">
        <v>172</v>
      </c>
      <c r="C23" s="43" t="s">
        <v>183</v>
      </c>
      <c r="D23" s="44" t="n">
        <v>0</v>
      </c>
      <c r="E23" s="44"/>
      <c r="F23" s="44"/>
      <c r="G23" s="44"/>
      <c r="H23" s="44"/>
      <c r="I23" s="45" t="s">
        <v>174</v>
      </c>
    </row>
    <row r="24" customFormat="false" ht="15" hidden="false" customHeight="false" outlineLevel="0" collapsed="false">
      <c r="A24" s="29" t="s">
        <v>127</v>
      </c>
      <c r="B24" s="10" t="s">
        <v>175</v>
      </c>
      <c r="C24" s="15" t="s">
        <v>182</v>
      </c>
      <c r="D24" s="14" t="n">
        <f aca="false">J24</f>
        <v>2</v>
      </c>
      <c r="E24" s="13" t="n">
        <f aca="false">EXP(P24)</f>
        <v>1.05395197756442</v>
      </c>
      <c r="F24" s="13" t="n">
        <f aca="false">EXP(P24-1.959964*Q24)</f>
        <v>0.853913181768433</v>
      </c>
      <c r="G24" s="13" t="n">
        <f aca="false">EXP(P24+1.959964*Q24)</f>
        <v>1.30085211790674</v>
      </c>
      <c r="H24" s="30" t="n">
        <f aca="false">IF(J24&gt;1,O24,"")</f>
        <v>0.865217029955716</v>
      </c>
      <c r="I24" s="15"/>
      <c r="J24" s="0" t="n">
        <v>2</v>
      </c>
      <c r="K24" s="28" t="n">
        <f aca="false">SUMPRODUCT(1/$B$169:$B$170^2,$A$169:$A$170)/SUMPRODUCT(1/$B$169:$B$170^2)</f>
        <v>0.0905266835950948</v>
      </c>
      <c r="L24" s="28" t="n">
        <f aca="false">IF(J24&gt;1,SUMPRODUCT(1/$B$169:$B$170^2,($A$169:$A$170-K24)^2),0)</f>
        <v>7.41933494766765</v>
      </c>
      <c r="M24" s="28" t="n">
        <f aca="false">IF(J24&gt;1,SUMPRODUCT(1/$B$169:$B$170^2)-SUMPRODUCT(1/$B$169:$B$170^2,1/$B$169:$B$170^2)/SUMPRODUCT(1/$B$169:$B$170^2),0)</f>
        <v>320.718179746981</v>
      </c>
      <c r="N24" s="28" t="n">
        <f aca="false">IF(M24&gt;0,MAX(0,(L24-(J24-1))/M24),0)</f>
        <v>0.0200155006888975</v>
      </c>
      <c r="O24" s="28" t="n">
        <f aca="false">IF(AND(J24&gt;1,L24&gt;0),MAX(0,(L24-(J24-1))/L24),0)</f>
        <v>0.865217029955716</v>
      </c>
      <c r="P24" s="28" t="n">
        <f aca="false">SUMPRODUCT(1/($B$169:$B$170^2+N24),$A$169:$A$170)/SUMPRODUCT(1/($B$169:$B$170^2+N24))</f>
        <v>0.0525468869980926</v>
      </c>
      <c r="Q24" s="28" t="n">
        <f aca="false">SQRT(1/SUMPRODUCT(1/($B$169:$B$170^2+N24)))</f>
        <v>0.107385971401597</v>
      </c>
    </row>
    <row r="26" customFormat="false" ht="15" hidden="false" customHeight="false" outlineLevel="0" collapsed="false">
      <c r="A26" s="22" t="s">
        <v>132</v>
      </c>
      <c r="B26" s="23" t="s">
        <v>164</v>
      </c>
      <c r="C26" s="24" t="s">
        <v>184</v>
      </c>
      <c r="D26" s="25" t="n">
        <f aca="false">J26</f>
        <v>1</v>
      </c>
      <c r="E26" s="26" t="n">
        <f aca="false">EXP(P26)</f>
        <v>1.3828</v>
      </c>
      <c r="F26" s="26" t="n">
        <f aca="false">EXP(P26-1.959964*Q26)</f>
        <v>1.0381158073635</v>
      </c>
      <c r="G26" s="26" t="n">
        <f aca="false">EXP(P26+1.959964*Q26)</f>
        <v>1.84192922064856</v>
      </c>
      <c r="H26" s="27" t="str">
        <f aca="false">IF(J26&gt;1,O26,"")</f>
        <v/>
      </c>
      <c r="I26" s="15"/>
      <c r="J26" s="0" t="n">
        <v>1</v>
      </c>
      <c r="K26" s="28" t="n">
        <f aca="false">SUMPRODUCT(1/$B$172:$B$172^2,$A$172:$A$172)/SUMPRODUCT(1/$B$172:$B$172^2)</f>
        <v>0.324110429065332</v>
      </c>
      <c r="L26" s="28" t="n">
        <f aca="false">IF(J26&gt;1,SUMPRODUCT(1/$B$172:$B$172^2,($A$172:$A$172-K26)^2),0)</f>
        <v>0</v>
      </c>
      <c r="M26" s="28" t="n">
        <f aca="false">IF(J26&gt;1,SUMPRODUCT(1/$B$172:$B$172^2)-SUMPRODUCT(1/$B$172:$B$172^2,1/$B$172:$B$172^2)/SUMPRODUCT(1/$B$172:$B$172^2),0)</f>
        <v>0</v>
      </c>
      <c r="N26" s="28" t="n">
        <f aca="false">IF(M26&gt;0,MAX(0,(L26-(J26-1))/M26),0)</f>
        <v>0</v>
      </c>
      <c r="O26" s="28" t="n">
        <f aca="false">IF(AND(J26&gt;1,L26&gt;0),MAX(0,(L26-(J26-1))/L26),0)</f>
        <v>0</v>
      </c>
      <c r="P26" s="28" t="n">
        <f aca="false">SUMPRODUCT(1/($B$172:$B$172^2+N26),$A$172:$A$172)/SUMPRODUCT(1/($B$172:$B$172^2+N26))</f>
        <v>0.324110429065332</v>
      </c>
      <c r="Q26" s="28" t="n">
        <f aca="false">SQRT(1/SUMPRODUCT(1/($B$172:$B$172^2+N26)))</f>
        <v>0.146279769810715</v>
      </c>
    </row>
    <row r="27" customFormat="false" ht="15" hidden="false" customHeight="false" outlineLevel="0" collapsed="false">
      <c r="A27" s="29" t="s">
        <v>132</v>
      </c>
      <c r="B27" s="10" t="s">
        <v>166</v>
      </c>
      <c r="C27" s="15" t="s">
        <v>178</v>
      </c>
      <c r="D27" s="14" t="n">
        <f aca="false">J27</f>
        <v>1</v>
      </c>
      <c r="E27" s="13" t="n">
        <f aca="false">EXP(P27)</f>
        <v>2.1924480357</v>
      </c>
      <c r="F27" s="13" t="n">
        <f aca="false">EXP(P27-1.959964*Q27)</f>
        <v>1.52129579530935</v>
      </c>
      <c r="G27" s="13" t="n">
        <f aca="false">EXP(P27+1.959964*Q27)</f>
        <v>3.1596934692555</v>
      </c>
      <c r="H27" s="30" t="str">
        <f aca="false">IF(J27&gt;1,O27,"")</f>
        <v/>
      </c>
      <c r="I27" s="15"/>
      <c r="J27" s="0" t="n">
        <v>1</v>
      </c>
      <c r="K27" s="28" t="n">
        <f aca="false">SUMPRODUCT(1/$B$174:$B$174^2,$A$174:$A$174)/SUMPRODUCT(1/$B$174:$B$174^2)</f>
        <v>0.785018744048324</v>
      </c>
      <c r="L27" s="28" t="n">
        <f aca="false">IF(J27&gt;1,SUMPRODUCT(1/$B$174:$B$174^2,($A$174:$A$174-K27)^2),0)</f>
        <v>0</v>
      </c>
      <c r="M27" s="28" t="n">
        <f aca="false">IF(J27&gt;1,SUMPRODUCT(1/$B$174:$B$174^2)-SUMPRODUCT(1/$B$174:$B$174^2,1/$B$174:$B$174^2)/SUMPRODUCT(1/$B$174:$B$174^2),0)</f>
        <v>0</v>
      </c>
      <c r="N27" s="28" t="n">
        <f aca="false">IF(M27&gt;0,MAX(0,(L27-(J27-1))/M27),0)</f>
        <v>0</v>
      </c>
      <c r="O27" s="28" t="n">
        <f aca="false">IF(AND(J27&gt;1,L27&gt;0),MAX(0,(L27-(J27-1))/L27),0)</f>
        <v>0</v>
      </c>
      <c r="P27" s="28" t="n">
        <f aca="false">SUMPRODUCT(1/($B$174:$B$174^2+N27),$A$174:$A$174)/SUMPRODUCT(1/($B$174:$B$174^2+N27))</f>
        <v>0.785018744048324</v>
      </c>
      <c r="Q27" s="28" t="n">
        <f aca="false">SQRT(1/SUMPRODUCT(1/($B$174:$B$174^2+N27)))</f>
        <v>0.186460708178927</v>
      </c>
    </row>
    <row r="28" customFormat="false" ht="15" hidden="false" customHeight="false" outlineLevel="0" collapsed="false">
      <c r="A28" s="29" t="s">
        <v>132</v>
      </c>
      <c r="B28" s="10" t="s">
        <v>168</v>
      </c>
      <c r="C28" s="15" t="s">
        <v>179</v>
      </c>
      <c r="D28" s="14" t="n">
        <f aca="false">J28</f>
        <v>2</v>
      </c>
      <c r="E28" s="13" t="n">
        <f aca="false">EXP(P28)</f>
        <v>1.71611121161826</v>
      </c>
      <c r="F28" s="13" t="n">
        <f aca="false">EXP(P28-1.959964*Q28)</f>
        <v>1.09338061130829</v>
      </c>
      <c r="G28" s="13" t="n">
        <f aca="false">EXP(P28+1.959964*Q28)</f>
        <v>2.6935155609884</v>
      </c>
      <c r="H28" s="30" t="n">
        <f aca="false">IF(J28&gt;1,O28,"")</f>
        <v>0.735613355484594</v>
      </c>
      <c r="I28" s="15"/>
      <c r="J28" s="0" t="n">
        <v>2</v>
      </c>
      <c r="K28" s="28" t="n">
        <f aca="false">SUMPRODUCT(1/$B$176:$B$177^2,$A$176:$A$177)/SUMPRODUCT(1/$B$176:$B$177^2)</f>
        <v>0.499706373191777</v>
      </c>
      <c r="L28" s="28" t="n">
        <f aca="false">IF(J28&gt;1,SUMPRODUCT(1/$B$176:$B$177^2,($A$176:$A$177-K28)^2),0)</f>
        <v>3.78233931533455</v>
      </c>
      <c r="M28" s="28" t="n">
        <f aca="false">IF(J28&gt;1,SUMPRODUCT(1/$B$176:$B$177^2)-SUMPRODUCT(1/$B$176:$B$177^2,1/$B$176:$B$177^2)/SUMPRODUCT(1/$B$176:$B$177^2),0)</f>
        <v>35.6091327398572</v>
      </c>
      <c r="N28" s="28" t="n">
        <f aca="false">IF(M28&gt;0,MAX(0,(L28-(J28-1))/M28),0)</f>
        <v>0.0781355540349985</v>
      </c>
      <c r="O28" s="28" t="n">
        <f aca="false">IF(AND(J28&gt;1,L28&gt;0),MAX(0,(L28-(J28-1))/L28),0)</f>
        <v>0.735613355484594</v>
      </c>
      <c r="P28" s="28" t="n">
        <f aca="false">SUMPRODUCT(1/($B$176:$B$177^2+N28),$A$176:$A$177)/SUMPRODUCT(1/($B$176:$B$177^2+N28))</f>
        <v>0.540060807601132</v>
      </c>
      <c r="Q28" s="28" t="n">
        <f aca="false">SQRT(1/SUMPRODUCT(1/($B$176:$B$177^2+N28)))</f>
        <v>0.229997302377918</v>
      </c>
    </row>
    <row r="29" customFormat="false" ht="15" hidden="false" customHeight="false" outlineLevel="0" collapsed="false">
      <c r="A29" s="29" t="s">
        <v>132</v>
      </c>
      <c r="B29" s="10" t="s">
        <v>170</v>
      </c>
      <c r="C29" s="15" t="s">
        <v>178</v>
      </c>
      <c r="D29" s="14" t="n">
        <f aca="false">J29</f>
        <v>1</v>
      </c>
      <c r="E29" s="13" t="n">
        <f aca="false">EXP(P29)</f>
        <v>2.1924480357</v>
      </c>
      <c r="F29" s="13" t="n">
        <f aca="false">EXP(P29-1.959964*Q29)</f>
        <v>1.52129579530935</v>
      </c>
      <c r="G29" s="13" t="n">
        <f aca="false">EXP(P29+1.959964*Q29)</f>
        <v>3.1596934692555</v>
      </c>
      <c r="H29" s="30" t="str">
        <f aca="false">IF(J29&gt;1,O29,"")</f>
        <v/>
      </c>
      <c r="I29" s="15"/>
      <c r="J29" s="0" t="n">
        <v>1</v>
      </c>
      <c r="K29" s="28" t="n">
        <f aca="false">SUMPRODUCT(1/$B$179:$B$179^2,$A$179:$A$179)/SUMPRODUCT(1/$B$179:$B$179^2)</f>
        <v>0.785018744048324</v>
      </c>
      <c r="L29" s="28" t="n">
        <f aca="false">IF(J29&gt;1,SUMPRODUCT(1/$B$179:$B$179^2,($A$179:$A$179-K29)^2),0)</f>
        <v>0</v>
      </c>
      <c r="M29" s="28" t="n">
        <f aca="false">IF(J29&gt;1,SUMPRODUCT(1/$B$179:$B$179^2)-SUMPRODUCT(1/$B$179:$B$179^2,1/$B$179:$B$179^2)/SUMPRODUCT(1/$B$179:$B$179^2),0)</f>
        <v>0</v>
      </c>
      <c r="N29" s="28" t="n">
        <f aca="false">IF(M29&gt;0,MAX(0,(L29-(J29-1))/M29),0)</f>
        <v>0</v>
      </c>
      <c r="O29" s="28" t="n">
        <f aca="false">IF(AND(J29&gt;1,L29&gt;0),MAX(0,(L29-(J29-1))/L29),0)</f>
        <v>0</v>
      </c>
      <c r="P29" s="28" t="n">
        <f aca="false">SUMPRODUCT(1/($B$179:$B$179^2+N29),$A$179:$A$179)/SUMPRODUCT(1/($B$179:$B$179^2+N29))</f>
        <v>0.785018744048324</v>
      </c>
      <c r="Q29" s="28" t="n">
        <f aca="false">SQRT(1/SUMPRODUCT(1/($B$179:$B$179^2+N29)))</f>
        <v>0.186460708178927</v>
      </c>
    </row>
    <row r="30" customFormat="false" ht="15" hidden="false" customHeight="false" outlineLevel="0" collapsed="false">
      <c r="A30" s="31" t="s">
        <v>132</v>
      </c>
      <c r="B30" s="32" t="s">
        <v>172</v>
      </c>
      <c r="C30" s="33" t="s">
        <v>178</v>
      </c>
      <c r="D30" s="34" t="n">
        <f aca="false">J30</f>
        <v>1</v>
      </c>
      <c r="E30" s="35" t="n">
        <f aca="false">EXP(P30)</f>
        <v>2.1924480357</v>
      </c>
      <c r="F30" s="35" t="n">
        <f aca="false">EXP(P30-1.959964*Q30)</f>
        <v>1.52129579530935</v>
      </c>
      <c r="G30" s="35" t="n">
        <f aca="false">EXP(P30+1.959964*Q30)</f>
        <v>3.1596934692555</v>
      </c>
      <c r="H30" s="36" t="str">
        <f aca="false">IF(J30&gt;1,O30,"")</f>
        <v/>
      </c>
      <c r="I30" s="37" t="s">
        <v>174</v>
      </c>
      <c r="J30" s="0" t="n">
        <v>1</v>
      </c>
      <c r="K30" s="28" t="n">
        <f aca="false">SUMPRODUCT(1/$B$181:$B$181^2,$A$181:$A$181)/SUMPRODUCT(1/$B$181:$B$181^2)</f>
        <v>0.785018744048324</v>
      </c>
      <c r="L30" s="28" t="n">
        <f aca="false">IF(J30&gt;1,SUMPRODUCT(1/$B$181:$B$181^2,($A$181:$A$181-K30)^2),0)</f>
        <v>0</v>
      </c>
      <c r="M30" s="28" t="n">
        <f aca="false">IF(J30&gt;1,SUMPRODUCT(1/$B$181:$B$181^2)-SUMPRODUCT(1/$B$181:$B$181^2,1/$B$181:$B$181^2)/SUMPRODUCT(1/$B$181:$B$181^2),0)</f>
        <v>0</v>
      </c>
      <c r="N30" s="28" t="n">
        <f aca="false">IF(M30&gt;0,MAX(0,(L30-(J30-1))/M30),0)</f>
        <v>0</v>
      </c>
      <c r="O30" s="28" t="n">
        <f aca="false">IF(AND(J30&gt;1,L30&gt;0),MAX(0,(L30-(J30-1))/L30),0)</f>
        <v>0</v>
      </c>
      <c r="P30" s="28" t="n">
        <f aca="false">SUMPRODUCT(1/($B$181:$B$181^2+N30),$A$181:$A$181)/SUMPRODUCT(1/($B$181:$B$181^2+N30))</f>
        <v>0.785018744048324</v>
      </c>
      <c r="Q30" s="28" t="n">
        <f aca="false">SQRT(1/SUMPRODUCT(1/($B$181:$B$181^2+N30)))</f>
        <v>0.186460708178927</v>
      </c>
    </row>
    <row r="31" customFormat="false" ht="15" hidden="false" customHeight="false" outlineLevel="0" collapsed="false">
      <c r="A31" s="29" t="s">
        <v>132</v>
      </c>
      <c r="B31" s="10" t="s">
        <v>175</v>
      </c>
      <c r="C31" s="15" t="s">
        <v>179</v>
      </c>
      <c r="D31" s="14" t="n">
        <f aca="false">J31</f>
        <v>2</v>
      </c>
      <c r="E31" s="13" t="n">
        <f aca="false">EXP(P31)</f>
        <v>1.71611121161826</v>
      </c>
      <c r="F31" s="13" t="n">
        <f aca="false">EXP(P31-1.959964*Q31)</f>
        <v>1.09338061130829</v>
      </c>
      <c r="G31" s="13" t="n">
        <f aca="false">EXP(P31+1.959964*Q31)</f>
        <v>2.6935155609884</v>
      </c>
      <c r="H31" s="30" t="n">
        <f aca="false">IF(J31&gt;1,O31,"")</f>
        <v>0.735613355484594</v>
      </c>
      <c r="I31" s="15"/>
      <c r="J31" s="0" t="n">
        <v>2</v>
      </c>
      <c r="K31" s="28" t="n">
        <f aca="false">SUMPRODUCT(1/$B$183:$B$184^2,$A$183:$A$184)/SUMPRODUCT(1/$B$183:$B$184^2)</f>
        <v>0.499706373191777</v>
      </c>
      <c r="L31" s="28" t="n">
        <f aca="false">IF(J31&gt;1,SUMPRODUCT(1/$B$183:$B$184^2,($A$183:$A$184-K31)^2),0)</f>
        <v>3.78233931533455</v>
      </c>
      <c r="M31" s="28" t="n">
        <f aca="false">IF(J31&gt;1,SUMPRODUCT(1/$B$183:$B$184^2)-SUMPRODUCT(1/$B$183:$B$184^2,1/$B$183:$B$184^2)/SUMPRODUCT(1/$B$183:$B$184^2),0)</f>
        <v>35.6091327398572</v>
      </c>
      <c r="N31" s="28" t="n">
        <f aca="false">IF(M31&gt;0,MAX(0,(L31-(J31-1))/M31),0)</f>
        <v>0.0781355540349985</v>
      </c>
      <c r="O31" s="28" t="n">
        <f aca="false">IF(AND(J31&gt;1,L31&gt;0),MAX(0,(L31-(J31-1))/L31),0)</f>
        <v>0.735613355484594</v>
      </c>
      <c r="P31" s="28" t="n">
        <f aca="false">SUMPRODUCT(1/($B$183:$B$184^2+N31),$A$183:$A$184)/SUMPRODUCT(1/($B$183:$B$184^2+N31))</f>
        <v>0.540060807601132</v>
      </c>
      <c r="Q31" s="28" t="n">
        <f aca="false">SQRT(1/SUMPRODUCT(1/($B$183:$B$184^2+N31)))</f>
        <v>0.229997302377918</v>
      </c>
    </row>
    <row r="115" customFormat="false" ht="15" hidden="false" customHeight="false" outlineLevel="0" collapsed="false">
      <c r="A115" s="40" t="s">
        <v>186</v>
      </c>
    </row>
    <row r="120" customFormat="false" ht="15" hidden="false" customHeight="false" outlineLevel="0" collapsed="false">
      <c r="A120" s="46" t="n">
        <f aca="false">'Study multipliers'!O3</f>
        <v>0.12628016591033</v>
      </c>
      <c r="B120" s="46" t="n">
        <f aca="false">'Study multipliers'!P3</f>
        <v>0.0463795449790298</v>
      </c>
    </row>
    <row r="121" customFormat="false" ht="15" hidden="false" customHeight="false" outlineLevel="0" collapsed="false">
      <c r="A121" s="46" t="n">
        <f aca="false">'Study multipliers'!O5</f>
        <v>0.139761942375159</v>
      </c>
      <c r="B121" s="46" t="n">
        <f aca="false">'Study multipliers'!P5</f>
        <v>0.0435847688099674</v>
      </c>
    </row>
    <row r="122" customFormat="false" ht="15" hidden="false" customHeight="false" outlineLevel="0" collapsed="false">
      <c r="A122" s="46" t="n">
        <f aca="false">'Study multipliers'!O8</f>
        <v>0.0769610411361284</v>
      </c>
      <c r="B122" s="46" t="n">
        <f aca="false">'Study multipliers'!P8</f>
        <v>0.0306024281769917</v>
      </c>
    </row>
    <row r="124" customFormat="false" ht="15" hidden="false" customHeight="false" outlineLevel="0" collapsed="false">
      <c r="A124" s="46" t="n">
        <f aca="false">'Study multipliers'!O10</f>
        <v>0.0469880108584371</v>
      </c>
      <c r="B124" s="46" t="n">
        <f aca="false">'Study multipliers'!P10</f>
        <v>0.0118694308717224</v>
      </c>
    </row>
    <row r="125" customFormat="false" ht="15" hidden="false" customHeight="false" outlineLevel="0" collapsed="false">
      <c r="A125" s="46" t="n">
        <f aca="false">'Study multipliers'!O11</f>
        <v>0.0438441024137177</v>
      </c>
      <c r="B125" s="46" t="n">
        <f aca="false">'Study multipliers'!P11</f>
        <v>0.0166954108790365</v>
      </c>
    </row>
    <row r="127" customFormat="false" ht="15" hidden="false" customHeight="false" outlineLevel="0" collapsed="false">
      <c r="A127" s="46" t="n">
        <f aca="false">'Study multipliers'!O3</f>
        <v>0.12628016591033</v>
      </c>
      <c r="B127" s="46" t="n">
        <f aca="false">'Study multipliers'!P3</f>
        <v>0.0463795449790298</v>
      </c>
    </row>
    <row r="128" customFormat="false" ht="15" hidden="false" customHeight="false" outlineLevel="0" collapsed="false">
      <c r="A128" s="46" t="n">
        <f aca="false">'Study multipliers'!O10</f>
        <v>0.0469880108584371</v>
      </c>
      <c r="B128" s="46" t="n">
        <f aca="false">'Study multipliers'!P10</f>
        <v>0.0118694308717224</v>
      </c>
    </row>
    <row r="129" customFormat="false" ht="15" hidden="false" customHeight="false" outlineLevel="0" collapsed="false">
      <c r="A129" s="46" t="n">
        <f aca="false">'Study multipliers'!O11</f>
        <v>0.0438441024137177</v>
      </c>
      <c r="B129" s="46" t="n">
        <f aca="false">'Study multipliers'!P11</f>
        <v>0.0166954108790365</v>
      </c>
    </row>
    <row r="131" customFormat="false" ht="15" hidden="false" customHeight="false" outlineLevel="0" collapsed="false">
      <c r="A131" s="46" t="n">
        <f aca="false">'Study multipliers'!O5</f>
        <v>0.139761942375159</v>
      </c>
      <c r="B131" s="46" t="n">
        <f aca="false">'Study multipliers'!P5</f>
        <v>0.0435847688099674</v>
      </c>
    </row>
    <row r="132" customFormat="false" ht="15" hidden="false" customHeight="false" outlineLevel="0" collapsed="false">
      <c r="A132" s="46" t="n">
        <f aca="false">'Study multipliers'!O10</f>
        <v>0.0469880108584371</v>
      </c>
      <c r="B132" s="46" t="n">
        <f aca="false">'Study multipliers'!P10</f>
        <v>0.0118694308717224</v>
      </c>
    </row>
    <row r="133" customFormat="false" ht="15" hidden="false" customHeight="false" outlineLevel="0" collapsed="false">
      <c r="A133" s="46" t="n">
        <f aca="false">'Study multipliers'!O11</f>
        <v>0.0438441024137177</v>
      </c>
      <c r="B133" s="46" t="n">
        <f aca="false">'Study multipliers'!P11</f>
        <v>0.0166954108790365</v>
      </c>
    </row>
    <row r="135" customFormat="false" ht="15" hidden="false" customHeight="false" outlineLevel="0" collapsed="false">
      <c r="A135" s="46" t="n">
        <f aca="false">'Study multipliers'!O8</f>
        <v>0.0769610411361284</v>
      </c>
      <c r="B135" s="46" t="n">
        <f aca="false">'Study multipliers'!P8</f>
        <v>0.0306024281769917</v>
      </c>
    </row>
    <row r="136" customFormat="false" ht="15" hidden="false" customHeight="false" outlineLevel="0" collapsed="false">
      <c r="A136" s="46" t="n">
        <f aca="false">'Study multipliers'!O10</f>
        <v>0.0469880108584371</v>
      </c>
      <c r="B136" s="46" t="n">
        <f aca="false">'Study multipliers'!P10</f>
        <v>0.0118694308717224</v>
      </c>
    </row>
    <row r="137" customFormat="false" ht="15" hidden="false" customHeight="false" outlineLevel="0" collapsed="false">
      <c r="A137" s="46" t="n">
        <f aca="false">'Study multipliers'!O11</f>
        <v>0.0438441024137177</v>
      </c>
      <c r="B137" s="46" t="n">
        <f aca="false">'Study multipliers'!P11</f>
        <v>0.0166954108790365</v>
      </c>
    </row>
    <row r="139" customFormat="false" ht="15" hidden="false" customHeight="false" outlineLevel="0" collapsed="false">
      <c r="A139" s="46" t="n">
        <f aca="false">'Study multipliers'!O3</f>
        <v>0.12628016591033</v>
      </c>
      <c r="B139" s="46" t="n">
        <f aca="false">'Study multipliers'!P3</f>
        <v>0.0463795449790298</v>
      </c>
    </row>
    <row r="140" customFormat="false" ht="15" hidden="false" customHeight="false" outlineLevel="0" collapsed="false">
      <c r="A140" s="46" t="n">
        <f aca="false">'Study multipliers'!O5</f>
        <v>0.139761942375159</v>
      </c>
      <c r="B140" s="46" t="n">
        <f aca="false">'Study multipliers'!P5</f>
        <v>0.0435847688099674</v>
      </c>
    </row>
    <row r="141" customFormat="false" ht="15" hidden="false" customHeight="false" outlineLevel="0" collapsed="false">
      <c r="A141" s="46" t="n">
        <f aca="false">'Study multipliers'!O8</f>
        <v>0.0769610411361284</v>
      </c>
      <c r="B141" s="46" t="n">
        <f aca="false">'Study multipliers'!P8</f>
        <v>0.0306024281769917</v>
      </c>
    </row>
    <row r="142" customFormat="false" ht="15" hidden="false" customHeight="false" outlineLevel="0" collapsed="false">
      <c r="A142" s="46" t="n">
        <f aca="false">'Study multipliers'!O10</f>
        <v>0.0469880108584371</v>
      </c>
      <c r="B142" s="46" t="n">
        <f aca="false">'Study multipliers'!P10</f>
        <v>0.0118694308717224</v>
      </c>
    </row>
    <row r="143" customFormat="false" ht="15" hidden="false" customHeight="false" outlineLevel="0" collapsed="false">
      <c r="A143" s="46" t="n">
        <f aca="false">'Study multipliers'!O11</f>
        <v>0.0438441024137177</v>
      </c>
      <c r="B143" s="46" t="n">
        <f aca="false">'Study multipliers'!P11</f>
        <v>0.0166954108790365</v>
      </c>
    </row>
    <row r="145" customFormat="false" ht="15" hidden="false" customHeight="false" outlineLevel="0" collapsed="false">
      <c r="A145" s="46" t="n">
        <f aca="false">'Study multipliers'!O16</f>
        <v>0.37939488037498</v>
      </c>
      <c r="B145" s="46" t="n">
        <f aca="false">'Study multipliers'!P16</f>
        <v>0.140326943461251</v>
      </c>
    </row>
    <row r="146" customFormat="false" ht="15" hidden="false" customHeight="false" outlineLevel="0" collapsed="false">
      <c r="A146" s="46" t="n">
        <f aca="false">'Study multipliers'!O18</f>
        <v>0.385262400790645</v>
      </c>
      <c r="B146" s="46" t="n">
        <f aca="false">'Study multipliers'!P18</f>
        <v>0.0658638138392039</v>
      </c>
    </row>
    <row r="148" customFormat="false" ht="15" hidden="false" customHeight="false" outlineLevel="0" collapsed="false">
      <c r="A148" s="46" t="n">
        <f aca="false">'Study multipliers'!O22</f>
        <v>0.384805205680642</v>
      </c>
      <c r="B148" s="46" t="n">
        <f aca="false">'Study multipliers'!P22</f>
        <v>0.153012140884959</v>
      </c>
    </row>
    <row r="150" customFormat="false" ht="15" hidden="false" customHeight="false" outlineLevel="0" collapsed="false">
      <c r="A150" s="46" t="n">
        <f aca="false">'Study multipliers'!O16</f>
        <v>0.37939488037498</v>
      </c>
      <c r="B150" s="46" t="n">
        <f aca="false">'Study multipliers'!P16</f>
        <v>0.140326943461251</v>
      </c>
    </row>
    <row r="151" customFormat="false" ht="15" hidden="false" customHeight="false" outlineLevel="0" collapsed="false">
      <c r="A151" s="46" t="n">
        <f aca="false">'Study multipliers'!O22</f>
        <v>0.384805205680642</v>
      </c>
      <c r="B151" s="46" t="n">
        <f aca="false">'Study multipliers'!P22</f>
        <v>0.153012140884959</v>
      </c>
    </row>
    <row r="153" customFormat="false" ht="15" hidden="false" customHeight="false" outlineLevel="0" collapsed="false">
      <c r="A153" s="46" t="n">
        <f aca="false">'Study multipliers'!O22</f>
        <v>0.384805205680642</v>
      </c>
      <c r="B153" s="46" t="n">
        <f aca="false">'Study multipliers'!P22</f>
        <v>0.153012140884959</v>
      </c>
    </row>
    <row r="155" customFormat="false" ht="15" hidden="false" customHeight="false" outlineLevel="0" collapsed="false">
      <c r="A155" s="46" t="n">
        <f aca="false">'Study multipliers'!O18</f>
        <v>0.385262400790645</v>
      </c>
      <c r="B155" s="46" t="n">
        <f aca="false">'Study multipliers'!P18</f>
        <v>0.0658638138392039</v>
      </c>
    </row>
    <row r="156" customFormat="false" ht="15" hidden="false" customHeight="false" outlineLevel="0" collapsed="false">
      <c r="A156" s="46" t="n">
        <f aca="false">'Study multipliers'!O22</f>
        <v>0.384805205680642</v>
      </c>
      <c r="B156" s="46" t="n">
        <f aca="false">'Study multipliers'!P22</f>
        <v>0.153012140884959</v>
      </c>
    </row>
    <row r="158" customFormat="false" ht="15" hidden="false" customHeight="false" outlineLevel="0" collapsed="false">
      <c r="A158" s="46" t="n">
        <f aca="false">'Study multipliers'!O16</f>
        <v>0.37939488037498</v>
      </c>
      <c r="B158" s="46" t="n">
        <f aca="false">'Study multipliers'!P16</f>
        <v>0.140326943461251</v>
      </c>
    </row>
    <row r="159" customFormat="false" ht="15" hidden="false" customHeight="false" outlineLevel="0" collapsed="false">
      <c r="A159" s="46" t="n">
        <f aca="false">'Study multipliers'!O18</f>
        <v>0.385262400790645</v>
      </c>
      <c r="B159" s="46" t="n">
        <f aca="false">'Study multipliers'!P18</f>
        <v>0.0658638138392039</v>
      </c>
    </row>
    <row r="160" customFormat="false" ht="15" hidden="false" customHeight="false" outlineLevel="0" collapsed="false">
      <c r="A160" s="46" t="n">
        <f aca="false">'Study multipliers'!O22</f>
        <v>0.384805205680642</v>
      </c>
      <c r="B160" s="46" t="n">
        <f aca="false">'Study multipliers'!P22</f>
        <v>0.153012140884959</v>
      </c>
    </row>
    <row r="162" customFormat="false" ht="15" hidden="false" customHeight="false" outlineLevel="0" collapsed="false">
      <c r="A162" s="46" t="n">
        <f aca="false">'Study multipliers'!O27</f>
        <v>-0.0609184149694171</v>
      </c>
      <c r="B162" s="46" t="n">
        <f aca="false">'Study multipliers'!P27</f>
        <v>0.0662617605828981</v>
      </c>
    </row>
    <row r="163" customFormat="false" ht="15" hidden="false" customHeight="false" outlineLevel="0" collapsed="false">
      <c r="A163" s="46" t="n">
        <f aca="false">'Study multipliers'!O28</f>
        <v>0.154179250847674</v>
      </c>
      <c r="B163" s="46" t="n">
        <f aca="false">'Study multipliers'!P28</f>
        <v>0.0429579276341503</v>
      </c>
    </row>
    <row r="165" customFormat="false" ht="15" hidden="false" customHeight="false" outlineLevel="0" collapsed="false">
      <c r="A165" s="46" t="n">
        <f aca="false">'Study multipliers'!O27</f>
        <v>-0.0609184149694171</v>
      </c>
      <c r="B165" s="46" t="n">
        <f aca="false">'Study multipliers'!P27</f>
        <v>0.0662617605828981</v>
      </c>
    </row>
    <row r="167" customFormat="false" ht="15" hidden="false" customHeight="false" outlineLevel="0" collapsed="false">
      <c r="A167" s="46" t="n">
        <f aca="false">'Study multipliers'!O28</f>
        <v>0.154179250847674</v>
      </c>
      <c r="B167" s="46" t="n">
        <f aca="false">'Study multipliers'!P28</f>
        <v>0.0429579276341503</v>
      </c>
    </row>
    <row r="169" customFormat="false" ht="15" hidden="false" customHeight="false" outlineLevel="0" collapsed="false">
      <c r="A169" s="46" t="n">
        <f aca="false">'Study multipliers'!O27</f>
        <v>-0.0609184149694171</v>
      </c>
      <c r="B169" s="46" t="n">
        <f aca="false">'Study multipliers'!P27</f>
        <v>0.0662617605828981</v>
      </c>
    </row>
    <row r="170" customFormat="false" ht="15" hidden="false" customHeight="false" outlineLevel="0" collapsed="false">
      <c r="A170" s="46" t="n">
        <f aca="false">'Study multipliers'!O28</f>
        <v>0.154179250847674</v>
      </c>
      <c r="B170" s="46" t="n">
        <f aca="false">'Study multipliers'!P28</f>
        <v>0.0429579276341503</v>
      </c>
    </row>
    <row r="172" customFormat="false" ht="15" hidden="false" customHeight="false" outlineLevel="0" collapsed="false">
      <c r="A172" s="46" t="n">
        <f aca="false">'Study multipliers'!O33</f>
        <v>0.324110429065332</v>
      </c>
      <c r="B172" s="46" t="n">
        <f aca="false">'Study multipliers'!P33</f>
        <v>0.146279769810715</v>
      </c>
    </row>
    <row r="174" customFormat="false" ht="15" hidden="false" customHeight="false" outlineLevel="0" collapsed="false">
      <c r="A174" s="46" t="n">
        <f aca="false">'Study multipliers'!O34</f>
        <v>0.785018744048324</v>
      </c>
      <c r="B174" s="46" t="n">
        <f aca="false">'Study multipliers'!P34</f>
        <v>0.186460708178927</v>
      </c>
    </row>
    <row r="176" customFormat="false" ht="15" hidden="false" customHeight="false" outlineLevel="0" collapsed="false">
      <c r="A176" s="46" t="n">
        <f aca="false">'Study multipliers'!O33</f>
        <v>0.324110429065332</v>
      </c>
      <c r="B176" s="46" t="n">
        <f aca="false">'Study multipliers'!P33</f>
        <v>0.146279769810715</v>
      </c>
    </row>
    <row r="177" customFormat="false" ht="15" hidden="false" customHeight="false" outlineLevel="0" collapsed="false">
      <c r="A177" s="46" t="n">
        <f aca="false">'Study multipliers'!O34</f>
        <v>0.785018744048324</v>
      </c>
      <c r="B177" s="46" t="n">
        <f aca="false">'Study multipliers'!P34</f>
        <v>0.186460708178927</v>
      </c>
    </row>
    <row r="179" customFormat="false" ht="15" hidden="false" customHeight="false" outlineLevel="0" collapsed="false">
      <c r="A179" s="46" t="n">
        <f aca="false">'Study multipliers'!O34</f>
        <v>0.785018744048324</v>
      </c>
      <c r="B179" s="46" t="n">
        <f aca="false">'Study multipliers'!P34</f>
        <v>0.186460708178927</v>
      </c>
    </row>
    <row r="181" customFormat="false" ht="15" hidden="false" customHeight="false" outlineLevel="0" collapsed="false">
      <c r="A181" s="46" t="n">
        <f aca="false">'Study multipliers'!O34</f>
        <v>0.785018744048324</v>
      </c>
      <c r="B181" s="46" t="n">
        <f aca="false">'Study multipliers'!P34</f>
        <v>0.186460708178927</v>
      </c>
    </row>
    <row r="183" customFormat="false" ht="15" hidden="false" customHeight="false" outlineLevel="0" collapsed="false">
      <c r="A183" s="46" t="n">
        <f aca="false">'Study multipliers'!O33</f>
        <v>0.324110429065332</v>
      </c>
      <c r="B183" s="46" t="n">
        <f aca="false">'Study multipliers'!P33</f>
        <v>0.146279769810715</v>
      </c>
    </row>
    <row r="184" customFormat="false" ht="15" hidden="false" customHeight="false" outlineLevel="0" collapsed="false">
      <c r="A184" s="46" t="n">
        <f aca="false">'Study multipliers'!O34</f>
        <v>0.785018744048324</v>
      </c>
      <c r="B184" s="46" t="n">
        <f aca="false">'Study multipliers'!P34</f>
        <v>0.186460708178927</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2"/>
    <col collapsed="false" customWidth="true" hidden="false" outlineLevel="0" max="5" min="5" style="0" width="12"/>
    <col collapsed="false" customWidth="true" hidden="false" outlineLevel="0" max="6" min="6" style="0" width="18"/>
    <col collapsed="false" customWidth="true" hidden="false" outlineLevel="0" max="7" min="7" style="0" width="8"/>
  </cols>
  <sheetData>
    <row r="1" customFormat="false" ht="17.35" hidden="false" customHeight="false" outlineLevel="0" collapsed="false">
      <c r="A1" s="19" t="s">
        <v>187</v>
      </c>
    </row>
    <row r="2" customFormat="false" ht="31.5" hidden="false" customHeight="true" outlineLevel="0" collapsed="false">
      <c r="A2" s="20" t="s">
        <v>188</v>
      </c>
      <c r="B2" s="20"/>
      <c r="C2" s="20"/>
      <c r="D2" s="20"/>
      <c r="E2" s="20"/>
      <c r="F2" s="20"/>
      <c r="G2" s="20"/>
    </row>
    <row r="4" customFormat="false" ht="43.5" hidden="false" customHeight="true" outlineLevel="0" collapsed="false">
      <c r="A4" s="6" t="s">
        <v>27</v>
      </c>
      <c r="B4" s="6" t="s">
        <v>189</v>
      </c>
      <c r="C4" s="6" t="s">
        <v>190</v>
      </c>
      <c r="D4" s="6" t="s">
        <v>191</v>
      </c>
      <c r="E4" s="6" t="s">
        <v>192</v>
      </c>
      <c r="F4" s="6" t="s">
        <v>193</v>
      </c>
      <c r="G4" s="6" t="s">
        <v>52</v>
      </c>
    </row>
    <row r="5" customFormat="false" ht="15" hidden="false" customHeight="false" outlineLevel="0" collapsed="false">
      <c r="A5" s="29" t="s">
        <v>55</v>
      </c>
      <c r="B5" s="14" t="str">
        <f aca="false">TEXT('Study multipliers'!N3,"0.00")&amp;" ("&amp;TEXT('Study multipliers'!K3,"0.00")&amp;" to "&amp;TEXT('Study multipliers'!L3,"0.00")&amp;")"</f>
        <v>1.13 (1.03 to 1.24)</v>
      </c>
      <c r="C5" s="14" t="str">
        <f aca="false">TEXT('Study multipliers'!N5,"0.00")&amp;" ("&amp;TEXT('Study multipliers'!K5,"0.00")&amp;" to "&amp;TEXT('Study multipliers'!L5,"0.00")&amp;")"</f>
        <v>1.15 (1.05 to 1.25)</v>
      </c>
      <c r="D5" s="14" t="str">
        <f aca="false">TEXT('Study multipliers'!N8,"0.00")&amp;" ("&amp;TEXT('Study multipliers'!K8,"0.00")&amp;" to "&amp;TEXT('Study multipliers'!L8,"0.00")&amp;")"</f>
        <v>1.08 (1.02 to 1.15)</v>
      </c>
      <c r="E5" s="47" t="n">
        <f aca="false">'Pooled comparisons'!E5</f>
        <v>1.10976826471586</v>
      </c>
      <c r="F5" s="22" t="str">
        <f aca="false">TEXT('Pooled comparisons'!F5,"0.000")&amp;" to "&amp;TEXT('Pooled comparisons'!G5,"0.000")</f>
        <v>1.063 to 1.159</v>
      </c>
      <c r="G5" s="48" t="n">
        <f aca="false">'Pooled comparisons'!H5</f>
        <v>0</v>
      </c>
    </row>
    <row r="6" customFormat="false" ht="15" hidden="false" customHeight="false" outlineLevel="0" collapsed="false">
      <c r="A6" s="29" t="s">
        <v>108</v>
      </c>
      <c r="B6" s="14" t="str">
        <f aca="false">TEXT('Study multipliers'!N16,"0.00")&amp;" ("&amp;TEXT('Study multipliers'!K16,"0.00")&amp;" to "&amp;TEXT('Study multipliers'!L16,"0.00")&amp;")"</f>
        <v>1.46 (1.07 to 1.85)</v>
      </c>
      <c r="C6" s="15" t="s">
        <v>194</v>
      </c>
      <c r="D6" s="14" t="str">
        <f aca="false">TEXT('Study multipliers'!N18,"0.00")&amp;" ("&amp;TEXT('Study multipliers'!K18,"0.00")&amp;" to "&amp;TEXT('Study multipliers'!L18,"0.00")&amp;")"</f>
        <v>1.47 (1.29 to 1.67)</v>
      </c>
      <c r="E6" s="47" t="n">
        <f aca="false">'Pooled comparisons'!E12</f>
        <v>1.46844372092871</v>
      </c>
      <c r="F6" s="22" t="str">
        <f aca="false">TEXT('Pooled comparisons'!F12,"0.000")&amp;" to "&amp;TEXT('Pooled comparisons'!G12,"0.000")</f>
        <v>1.306 to 1.650</v>
      </c>
      <c r="G6" s="48" t="n">
        <f aca="false">'Pooled comparisons'!H12</f>
        <v>0</v>
      </c>
    </row>
    <row r="7" customFormat="false" ht="15" hidden="false" customHeight="false" outlineLevel="0" collapsed="false">
      <c r="A7" s="29" t="s">
        <v>127</v>
      </c>
      <c r="B7" s="14" t="str">
        <f aca="false">TEXT('Study multipliers'!N27,"0.00")&amp;" ("&amp;TEXT('Study multipliers'!K27,"0.00")&amp;" to "&amp;TEXT('Study multipliers'!L27,"0.00")&amp;")"</f>
        <v>0.94 (0.82 to 1.06)</v>
      </c>
      <c r="C7" s="14" t="str">
        <f aca="false">TEXT('Study multipliers'!N28,"0.00")&amp;" ("&amp;TEXT('Study multipliers'!K28,"0.00")&amp;" to "&amp;TEXT('Study multipliers'!L28,"0.00")&amp;")"</f>
        <v>1.17 (1.07 to 1.26)</v>
      </c>
      <c r="D7" s="15" t="s">
        <v>194</v>
      </c>
      <c r="E7" s="47" t="n">
        <f aca="false">'Pooled comparisons'!E19</f>
        <v>1.05395197756442</v>
      </c>
      <c r="F7" s="22" t="str">
        <f aca="false">TEXT('Pooled comparisons'!F19,"0.000")&amp;" to "&amp;TEXT('Pooled comparisons'!G19,"0.000")</f>
        <v>0.854 to 1.301</v>
      </c>
      <c r="G7" s="48" t="n">
        <f aca="false">'Pooled comparisons'!H19</f>
        <v>0.865217029955716</v>
      </c>
    </row>
    <row r="8" customFormat="false" ht="15" hidden="false" customHeight="false" outlineLevel="0" collapsed="false">
      <c r="A8" s="29" t="s">
        <v>132</v>
      </c>
      <c r="B8" s="14" t="str">
        <f aca="false">TEXT('Study multipliers'!N33,"0.00")&amp;" ("&amp;TEXT('Study multipliers'!K33,"0.00")&amp;" to "&amp;TEXT('Study multipliers'!L33,"0.00")&amp;")"</f>
        <v>1.38 (1.00 to 1.77)</v>
      </c>
      <c r="C8" s="15" t="s">
        <v>194</v>
      </c>
      <c r="D8" s="15" t="s">
        <v>194</v>
      </c>
      <c r="E8" s="47" t="n">
        <f aca="false">'Pooled comparisons'!E26</f>
        <v>1.3828</v>
      </c>
      <c r="F8" s="22" t="str">
        <f aca="false">TEXT('Pooled comparisons'!F26,"0.000")&amp;" to "&amp;TEXT('Pooled comparisons'!G26,"0.000")</f>
        <v>1.038 to 1.842</v>
      </c>
      <c r="G8" s="48" t="str">
        <f aca="false">'Pooled comparisons'!H26</f>
        <v/>
      </c>
    </row>
    <row r="10" customFormat="false" ht="39.75" hidden="false" customHeight="true" outlineLevel="0" collapsed="false">
      <c r="A10" s="20" t="s">
        <v>195</v>
      </c>
      <c r="B10" s="20"/>
      <c r="C10" s="20"/>
      <c r="D10" s="20"/>
      <c r="E10" s="20"/>
      <c r="F10" s="20"/>
      <c r="G10" s="20"/>
    </row>
    <row r="11" customFormat="false" ht="39.75" hidden="false" customHeight="true" outlineLevel="0" collapsed="false">
      <c r="A11" s="20" t="s">
        <v>196</v>
      </c>
      <c r="B11" s="20"/>
      <c r="C11" s="20"/>
      <c r="D11" s="20"/>
      <c r="E11" s="20"/>
      <c r="F11" s="20"/>
      <c r="G11" s="20"/>
    </row>
    <row r="12" customFormat="false" ht="39.75" hidden="false" customHeight="true" outlineLevel="0" collapsed="false">
      <c r="A12" s="49" t="s">
        <v>197</v>
      </c>
      <c r="B12" s="49"/>
      <c r="C12" s="49"/>
      <c r="D12" s="49"/>
      <c r="E12" s="49"/>
      <c r="F12" s="49"/>
      <c r="G12" s="49"/>
    </row>
    <row r="13" customFormat="false" ht="39.75" hidden="false" customHeight="true" outlineLevel="0" collapsed="false">
      <c r="A13" s="49" t="s">
        <v>198</v>
      </c>
      <c r="B13" s="49"/>
      <c r="C13" s="49"/>
      <c r="D13" s="49"/>
      <c r="E13" s="49"/>
      <c r="F13" s="49"/>
      <c r="G13" s="49"/>
    </row>
  </sheetData>
  <mergeCells count="5">
    <mergeCell ref="A2:G2"/>
    <mergeCell ref="A10:G10"/>
    <mergeCell ref="A11:G11"/>
    <mergeCell ref="A12:G1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
    <col collapsed="false" customWidth="true" hidden="false" outlineLevel="0" max="3" min="3" style="0" width="14"/>
    <col collapsed="false" customWidth="true" hidden="false" outlineLevel="0" max="5" min="4" style="0" width="10"/>
    <col collapsed="false" customWidth="true" hidden="false" outlineLevel="0" max="6" min="6" style="0" width="8"/>
    <col collapsed="false" customWidth="true" hidden="false" outlineLevel="0" max="9" min="7" style="0" width="2"/>
    <col collapsed="false" customWidth="true" hidden="false" outlineLevel="0" max="17" min="10" style="0" width="9"/>
  </cols>
  <sheetData>
    <row r="1" customFormat="false" ht="17.35" hidden="false" customHeight="false" outlineLevel="0" collapsed="false">
      <c r="A1" s="19" t="s">
        <v>199</v>
      </c>
    </row>
    <row r="3" customFormat="false" ht="15" hidden="false" customHeight="false" outlineLevel="0" collapsed="false">
      <c r="A3" s="50" t="s">
        <v>200</v>
      </c>
    </row>
    <row r="4" customFormat="false" ht="31.5" hidden="false" customHeight="true" outlineLevel="0" collapsed="false">
      <c r="A4" s="20" t="s">
        <v>201</v>
      </c>
      <c r="B4" s="20"/>
      <c r="C4" s="20"/>
      <c r="D4" s="20"/>
      <c r="E4" s="20"/>
      <c r="F4" s="20"/>
      <c r="G4" s="20"/>
      <c r="H4" s="20"/>
    </row>
    <row r="6" customFormat="false" ht="43.5" hidden="false" customHeight="true" outlineLevel="0" collapsed="false">
      <c r="A6" s="6" t="s">
        <v>28</v>
      </c>
      <c r="B6" s="6" t="s">
        <v>27</v>
      </c>
      <c r="C6" s="6" t="s">
        <v>202</v>
      </c>
      <c r="D6" s="6" t="s">
        <v>203</v>
      </c>
      <c r="E6" s="6" t="s">
        <v>204</v>
      </c>
      <c r="F6" s="6" t="s">
        <v>205</v>
      </c>
      <c r="G6" s="6" t="s">
        <v>206</v>
      </c>
      <c r="H6" s="6" t="s">
        <v>207</v>
      </c>
    </row>
    <row r="7" customFormat="false" ht="15" hidden="false" customHeight="false" outlineLevel="0" collapsed="false">
      <c r="A7" s="10" t="s">
        <v>208</v>
      </c>
      <c r="B7" s="10" t="s">
        <v>55</v>
      </c>
      <c r="C7" s="13" t="n">
        <f aca="false">'Study multipliers'!J10</f>
        <v>1.02</v>
      </c>
      <c r="D7" s="10" t="s">
        <v>94</v>
      </c>
      <c r="E7" s="13" t="n">
        <v>2.1072</v>
      </c>
      <c r="F7" s="13" t="n">
        <v>2.3728</v>
      </c>
      <c r="G7" s="13" t="n">
        <f aca="false">'Study multipliers'!N10</f>
        <v>1.04810944307184</v>
      </c>
      <c r="H7" s="51" t="n">
        <f aca="false">G7/C7-1</f>
        <v>0.0275582775214134</v>
      </c>
    </row>
    <row r="8" customFormat="false" ht="15" hidden="false" customHeight="false" outlineLevel="0" collapsed="false">
      <c r="A8" s="10" t="s">
        <v>209</v>
      </c>
      <c r="B8" s="10" t="s">
        <v>55</v>
      </c>
      <c r="C8" s="13" t="n">
        <f aca="false">'Study multipliers'!J11</f>
        <v>1.02</v>
      </c>
      <c r="D8" s="10" t="s">
        <v>100</v>
      </c>
      <c r="E8" s="13" t="n">
        <v>2.2583</v>
      </c>
      <c r="F8" s="13" t="n">
        <v>2.2141</v>
      </c>
      <c r="G8" s="13" t="n">
        <f aca="false">'Study multipliers'!N11</f>
        <v>1.0448194573596</v>
      </c>
      <c r="H8" s="51" t="n">
        <f aca="false">G8/C8-1</f>
        <v>0.0243328013329458</v>
      </c>
    </row>
    <row r="9" customFormat="false" ht="15" hidden="false" customHeight="false" outlineLevel="0" collapsed="false">
      <c r="A9" s="10" t="s">
        <v>178</v>
      </c>
      <c r="B9" s="10" t="s">
        <v>108</v>
      </c>
      <c r="C9" s="13" t="n">
        <f aca="false">'Study multipliers'!J22</f>
        <v>1.08</v>
      </c>
      <c r="D9" s="10" t="s">
        <v>123</v>
      </c>
      <c r="E9" s="13" t="n">
        <v>1</v>
      </c>
      <c r="F9" s="13" t="n">
        <v>5</v>
      </c>
      <c r="G9" s="13" t="n">
        <f aca="false">'Study multipliers'!N22</f>
        <v>1.4693280768</v>
      </c>
      <c r="H9" s="51" t="n">
        <f aca="false">G9/C9-1</f>
        <v>0.360488960000001</v>
      </c>
    </row>
    <row r="10" customFormat="false" ht="15" hidden="false" customHeight="false" outlineLevel="0" collapsed="false">
      <c r="A10" s="10" t="s">
        <v>178</v>
      </c>
      <c r="B10" s="10" t="s">
        <v>132</v>
      </c>
      <c r="C10" s="13" t="n">
        <f aca="false">'Study multipliers'!J34</f>
        <v>1.17</v>
      </c>
      <c r="D10" s="10" t="s">
        <v>123</v>
      </c>
      <c r="E10" s="13" t="n">
        <v>1</v>
      </c>
      <c r="F10" s="13" t="n">
        <v>5</v>
      </c>
      <c r="G10" s="13" t="n">
        <f aca="false">'Study multipliers'!N34</f>
        <v>2.1924480357</v>
      </c>
      <c r="H10" s="51" t="n">
        <f aca="false">G10/C10-1</f>
        <v>0.87388721</v>
      </c>
    </row>
    <row r="11" customFormat="false" ht="15" hidden="false" customHeight="false" outlineLevel="0" collapsed="false">
      <c r="A11" s="10" t="s">
        <v>210</v>
      </c>
      <c r="B11" s="10" t="s">
        <v>55</v>
      </c>
      <c r="C11" s="13" t="n">
        <f aca="false">'Study multipliers'!J12</f>
        <v>1.003</v>
      </c>
      <c r="D11" s="10" t="s">
        <v>104</v>
      </c>
      <c r="E11" s="13" t="n">
        <v>1</v>
      </c>
      <c r="F11" s="13" t="n">
        <v>5</v>
      </c>
      <c r="G11" s="13" t="n">
        <f aca="false">'Study multipliers'!N12</f>
        <v>1.01509027040524</v>
      </c>
      <c r="H11" s="51" t="n">
        <f aca="false">G11/C11-1</f>
        <v>0.0120541080809995</v>
      </c>
    </row>
    <row r="12" customFormat="false" ht="15" hidden="false" customHeight="false" outlineLevel="0" collapsed="false">
      <c r="A12" s="10" t="s">
        <v>210</v>
      </c>
      <c r="B12" s="10" t="s">
        <v>108</v>
      </c>
      <c r="C12" s="13" t="n">
        <f aca="false">'Study multipliers'!J23</f>
        <v>1.015</v>
      </c>
      <c r="D12" s="10" t="s">
        <v>104</v>
      </c>
      <c r="E12" s="13" t="n">
        <v>1</v>
      </c>
      <c r="F12" s="13" t="n">
        <v>5</v>
      </c>
      <c r="G12" s="13" t="n">
        <f aca="false">'Study multipliers'!N23</f>
        <v>1.07728400388437</v>
      </c>
      <c r="H12" s="51" t="n">
        <f aca="false">G12/C12-1</f>
        <v>0.0613635506249997</v>
      </c>
    </row>
    <row r="14" customFormat="false" ht="31.5" hidden="false" customHeight="true" outlineLevel="0" collapsed="false">
      <c r="A14" s="52" t="s">
        <v>211</v>
      </c>
      <c r="B14" s="52"/>
      <c r="C14" s="52"/>
      <c r="D14" s="52"/>
      <c r="E14" s="52"/>
      <c r="F14" s="52"/>
      <c r="G14" s="52"/>
      <c r="H14" s="52"/>
    </row>
    <row r="17" customFormat="false" ht="15" hidden="false" customHeight="false" outlineLevel="0" collapsed="false">
      <c r="A17" s="50" t="s">
        <v>212</v>
      </c>
    </row>
    <row r="18" customFormat="false" ht="42" hidden="false" customHeight="true" outlineLevel="0" collapsed="false">
      <c r="A18" s="20" t="s">
        <v>213</v>
      </c>
      <c r="B18" s="20"/>
      <c r="C18" s="20"/>
      <c r="D18" s="20"/>
      <c r="E18" s="20"/>
      <c r="F18" s="20"/>
      <c r="G18" s="20"/>
      <c r="H18" s="20"/>
    </row>
    <row r="20" customFormat="false" ht="43.5" hidden="false" customHeight="true" outlineLevel="0" collapsed="false">
      <c r="A20" s="6" t="s">
        <v>214</v>
      </c>
      <c r="B20" s="6" t="s">
        <v>47</v>
      </c>
      <c r="C20" s="6" t="s">
        <v>162</v>
      </c>
      <c r="D20" s="6" t="s">
        <v>37</v>
      </c>
      <c r="E20" s="6" t="s">
        <v>38</v>
      </c>
      <c r="F20" s="6" t="s">
        <v>52</v>
      </c>
      <c r="G20" s="6"/>
      <c r="H20" s="6"/>
      <c r="I20" s="6"/>
    </row>
    <row r="21" customFormat="false" ht="15" hidden="false" customHeight="false" outlineLevel="0" collapsed="false">
      <c r="A21" s="10" t="s">
        <v>215</v>
      </c>
      <c r="B21" s="14" t="n">
        <f aca="false">J21</f>
        <v>3</v>
      </c>
      <c r="C21" s="13" t="n">
        <f aca="false">EXP(P21)</f>
        <v>1.46994301714156</v>
      </c>
      <c r="D21" s="13" t="n">
        <f aca="false">EXP(P21-1.959964*Q21)</f>
        <v>1.34702462911479</v>
      </c>
      <c r="E21" s="13" t="n">
        <f aca="false">EXP(P21+1.959964*Q21)</f>
        <v>1.60407792622409</v>
      </c>
      <c r="F21" s="30" t="n">
        <f aca="false">IF(J21&gt;1,O21,"")</f>
        <v>0</v>
      </c>
      <c r="J21" s="0" t="n">
        <v>3</v>
      </c>
      <c r="K21" s="28" t="n">
        <f aca="false">SUMPRODUCT(1/$U$200:$U$202^2,$T$200:$T$202)/SUMPRODUCT(1/$U$200:$U$202^2)</f>
        <v>0.385223636190028</v>
      </c>
      <c r="L21" s="28" t="n">
        <f aca="false">IF(J21&gt;1,SUMPRODUCT(1/$U$200:$U$202^2,($T$200:$T$202-K21)^2),0)</f>
        <v>8.17096097815014E-006</v>
      </c>
      <c r="M21" s="28" t="n">
        <f aca="false">IF(J21&gt;1,SUMPRODUCT(1/$U$200:$U$202^2)-SUMPRODUCT(1/$U$200:$U$202^2,1/$U$200:$U$202^2)/SUMPRODUCT(1/$U$200:$U$202^2),0)</f>
        <v>289.154329227196</v>
      </c>
      <c r="N21" s="28" t="n">
        <f aca="false">IF(M21&gt;0,MAX(0,(L21-(J21-1))/M21),0)</f>
        <v>0</v>
      </c>
      <c r="O21" s="28" t="n">
        <f aca="false">IF(AND(J21&gt;1,L21&gt;0),MAX(0,(L21-(J21-1))/L21),0)</f>
        <v>0</v>
      </c>
      <c r="P21" s="28" t="n">
        <f aca="false">SUMPRODUCT(1/($U$200:$U$202^2+N21),$T$200:$T$202)/SUMPRODUCT(1/($U$200:$U$202^2+N21))</f>
        <v>0.385223636190028</v>
      </c>
      <c r="Q21" s="28" t="n">
        <f aca="false">SQRT(1/SUMPRODUCT(1/($U$200:$U$202^2+N21)))</f>
        <v>0.0445546216706932</v>
      </c>
    </row>
    <row r="22" customFormat="false" ht="15" hidden="false" customHeight="false" outlineLevel="0" collapsed="false">
      <c r="A22" s="10" t="s">
        <v>216</v>
      </c>
      <c r="B22" s="14" t="n">
        <f aca="false">J22</f>
        <v>2</v>
      </c>
      <c r="C22" s="13" t="n">
        <f aca="false">EXP(P22)</f>
        <v>1.46989494365101</v>
      </c>
      <c r="D22" s="13" t="n">
        <f aca="false">EXP(P22-1.959964*Q22)</f>
        <v>1.30554238789585</v>
      </c>
      <c r="E22" s="13" t="n">
        <f aca="false">EXP(P22+1.959964*Q22)</f>
        <v>1.65493756878552</v>
      </c>
      <c r="F22" s="30" t="n">
        <f aca="false">IF(J22&gt;1,O22,"")</f>
        <v>0</v>
      </c>
      <c r="J22" s="0" t="n">
        <v>2</v>
      </c>
      <c r="K22" s="28" t="n">
        <f aca="false">SUMPRODUCT(1/$U$204:$U$205^2,$T$204:$T$205)/SUMPRODUCT(1/$U$204:$U$205^2)</f>
        <v>0.385190931332688</v>
      </c>
      <c r="L22" s="28" t="n">
        <f aca="false">IF(J22&gt;1,SUMPRODUCT(1/$U$204:$U$205^2,($T$204:$T$205-K22)^2),0)</f>
        <v>7.53231224884302E-006</v>
      </c>
      <c r="M22" s="28" t="n">
        <f aca="false">IF(J22&gt;1,SUMPRODUCT(1/$U$204:$U$205^2)-SUMPRODUCT(1/$U$204:$U$205^2,1/$U$204:$U$205^2)/SUMPRODUCT(1/$U$204:$U$205^2),0)</f>
        <v>72.0701054499309</v>
      </c>
      <c r="N22" s="28" t="n">
        <f aca="false">IF(M22&gt;0,MAX(0,(L22-(J22-1))/M22),0)</f>
        <v>0</v>
      </c>
      <c r="O22" s="28" t="n">
        <f aca="false">IF(AND(J22&gt;1,L22&gt;0),MAX(0,(L22-(J22-1))/L22),0)</f>
        <v>0</v>
      </c>
      <c r="P22" s="28" t="n">
        <f aca="false">SUMPRODUCT(1/($U$204:$U$205^2+N22),$T$204:$T$205)/SUMPRODUCT(1/($U$204:$U$205^2+N22))</f>
        <v>0.385190931332688</v>
      </c>
      <c r="Q22" s="28" t="n">
        <f aca="false">SQRT(1/SUMPRODUCT(1/($U$204:$U$205^2+N22)))</f>
        <v>0.060497210151111</v>
      </c>
    </row>
    <row r="200" customFormat="false" ht="15" hidden="false" customHeight="false" outlineLevel="0" collapsed="false">
      <c r="T200" s="46" t="n">
        <f aca="false">'Study multipliers'!O18</f>
        <v>0.385262400790645</v>
      </c>
      <c r="U200" s="46" t="n">
        <f aca="false">'Study multipliers'!P18</f>
        <v>0.0658638138392039</v>
      </c>
    </row>
    <row r="201" customFormat="false" ht="15" hidden="false" customHeight="false" outlineLevel="0" collapsed="false">
      <c r="T201" s="46" t="n">
        <f aca="false">'Study multipliers'!O22</f>
        <v>0.384805205680642</v>
      </c>
      <c r="U201" s="46" t="n">
        <f aca="false">'Study multipliers'!P22</f>
        <v>0.153012140884959</v>
      </c>
    </row>
    <row r="202" customFormat="false" ht="15" hidden="false" customHeight="false" outlineLevel="0" collapsed="false">
      <c r="T202" s="46" t="n">
        <f aca="false">'Study multipliers'!O18</f>
        <v>0.385262400790645</v>
      </c>
      <c r="U202" s="46" t="n">
        <f aca="false">'Study multipliers'!P18</f>
        <v>0.0658638138392039</v>
      </c>
    </row>
    <row r="204" customFormat="false" ht="15" hidden="false" customHeight="false" outlineLevel="0" collapsed="false">
      <c r="T204" s="46" t="n">
        <f aca="false">'Study multipliers'!O18</f>
        <v>0.385262400790645</v>
      </c>
      <c r="U204" s="46" t="n">
        <f aca="false">'Study multipliers'!P18</f>
        <v>0.0658638138392039</v>
      </c>
    </row>
    <row r="205" customFormat="false" ht="15" hidden="false" customHeight="false" outlineLevel="0" collapsed="false">
      <c r="T205" s="46" t="n">
        <f aca="false">'Study multipliers'!O22</f>
        <v>0.384805205680642</v>
      </c>
      <c r="U205" s="46" t="n">
        <f aca="false">'Study multipliers'!P22</f>
        <v>0.153012140884959</v>
      </c>
    </row>
  </sheetData>
  <mergeCells count="3">
    <mergeCell ref="A4:H4"/>
    <mergeCell ref="A14:H14"/>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20"/>
    <col collapsed="false" customWidth="true" hidden="false" outlineLevel="0" max="4" min="4" style="0" width="34"/>
    <col collapsed="false" customWidth="true" hidden="false" outlineLevel="0" max="5" min="5" style="0" width="11"/>
    <col collapsed="false" customWidth="true" hidden="false" outlineLevel="0" max="7" min="6" style="0" width="10"/>
    <col collapsed="false" customWidth="true" hidden="false" outlineLevel="0" max="8" min="8" style="0" width="40"/>
  </cols>
  <sheetData>
    <row r="1" customFormat="false" ht="17.35" hidden="false" customHeight="false" outlineLevel="0" collapsed="false">
      <c r="A1" s="19" t="s">
        <v>217</v>
      </c>
    </row>
    <row r="2" customFormat="false" ht="15" hidden="false" customHeight="false" outlineLevel="0" collapsed="false">
      <c r="A2" s="53" t="s">
        <v>218</v>
      </c>
      <c r="B2" s="53"/>
      <c r="C2" s="53"/>
      <c r="D2" s="53"/>
      <c r="E2" s="53"/>
      <c r="F2" s="53"/>
      <c r="G2" s="53"/>
    </row>
    <row r="4" customFormat="false" ht="43.5" hidden="false" customHeight="true" outlineLevel="0" collapsed="false">
      <c r="A4" s="6" t="s">
        <v>28</v>
      </c>
      <c r="B4" s="6" t="s">
        <v>29</v>
      </c>
      <c r="C4" s="6" t="s">
        <v>32</v>
      </c>
      <c r="D4" s="6" t="s">
        <v>219</v>
      </c>
      <c r="E4" s="6" t="s">
        <v>220</v>
      </c>
      <c r="F4" s="6" t="s">
        <v>37</v>
      </c>
      <c r="G4" s="6" t="s">
        <v>38</v>
      </c>
      <c r="H4" s="6" t="s">
        <v>221</v>
      </c>
    </row>
    <row r="5" customFormat="false" ht="15" hidden="false" customHeight="false" outlineLevel="0" collapsed="false">
      <c r="A5" s="10" t="s">
        <v>68</v>
      </c>
      <c r="B5" s="10" t="n">
        <v>2025</v>
      </c>
      <c r="C5" s="10" t="s">
        <v>70</v>
      </c>
      <c r="D5" s="10" t="s">
        <v>71</v>
      </c>
      <c r="E5" s="54" t="n">
        <v>-15.331</v>
      </c>
      <c r="F5" s="54" t="n">
        <v>-28.057</v>
      </c>
      <c r="G5" s="54" t="n">
        <v>-2.605</v>
      </c>
      <c r="H5" s="10" t="s">
        <v>222</v>
      </c>
    </row>
    <row r="6" customFormat="false" ht="15" hidden="false" customHeight="false" outlineLevel="0" collapsed="false">
      <c r="A6" s="10" t="s">
        <v>97</v>
      </c>
      <c r="B6" s="10" t="n">
        <v>2021</v>
      </c>
      <c r="C6" s="10" t="s">
        <v>98</v>
      </c>
      <c r="D6" s="10" t="s">
        <v>223</v>
      </c>
      <c r="E6" s="54" t="n">
        <v>-9.7</v>
      </c>
      <c r="F6" s="54" t="n">
        <v>-14.6</v>
      </c>
      <c r="G6" s="54" t="n">
        <v>-4.8</v>
      </c>
      <c r="H6" s="10" t="s">
        <v>224</v>
      </c>
    </row>
    <row r="8" customFormat="false" ht="15" hidden="false" customHeight="false" outlineLevel="0" collapsed="false">
      <c r="A8" s="53" t="s">
        <v>225</v>
      </c>
      <c r="B8" s="53"/>
      <c r="C8" s="53"/>
      <c r="D8" s="53"/>
      <c r="E8" s="53"/>
      <c r="F8" s="53"/>
      <c r="G8" s="53"/>
      <c r="H8" s="53"/>
    </row>
  </sheetData>
  <mergeCells count="2">
    <mergeCell ref="A2:G2"/>
    <mergeCell ref="A8:H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2026-10-21T02:50:05Z</dcterms:created>
  <dc:creator>openpyxl</dc:creator>
  <dc:description/>
  <dc:language>en-US</dc:language>
  <cp:lastModifiedBy/>
  <dcterms:modified xsi:type="dcterms:W3CDTF">2026-10-21T02:50:05Z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